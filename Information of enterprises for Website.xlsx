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f10f2023b11ffb/Documents/1 最新ファイル/2 JICA関連/05 スリランカ個別専門家/04_現地活動/★在強費経理書類/★2026Q2/Quotation-PO/HP Construction/"/>
    </mc:Choice>
  </mc:AlternateContent>
  <xr:revisionPtr revIDLastSave="13" documentId="8_{7D739BEA-0214-4925-8701-A4628066C868}" xr6:coauthVersionLast="47" xr6:coauthVersionMax="47" xr10:uidLastSave="{D1AFC883-FFE8-4A5A-B5F6-DC2ADBA4E5BE}"/>
  <bookViews>
    <workbookView xWindow="-110" yWindow="-110" windowWidth="21820" windowHeight="13900" xr2:uid="{D4B1AE54-BA1F-4ADF-A54D-55271B57E67C}"/>
  </bookViews>
  <sheets>
    <sheet name="★Original List" sheetId="1" r:id="rId1"/>
  </sheets>
  <definedNames>
    <definedName name="_xlnm.Print_Area" localSheetId="0">'★Original List'!$B$28:$N$36</definedName>
    <definedName name="_xlnm.Print_Titles" localSheetId="0">'★Original List'!$3:$4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64" i="1" l="1"/>
  <c r="W63" i="1"/>
  <c r="W62" i="1"/>
  <c r="W61" i="1"/>
  <c r="W60" i="1"/>
  <c r="W59" i="1"/>
  <c r="W58" i="1"/>
  <c r="W57" i="1"/>
  <c r="W54" i="1"/>
  <c r="W53" i="1"/>
  <c r="W52" i="1"/>
  <c r="W51" i="1"/>
  <c r="W50" i="1"/>
  <c r="W49" i="1"/>
  <c r="W48" i="1"/>
  <c r="W47" i="1"/>
  <c r="W46" i="1"/>
  <c r="W45" i="1"/>
  <c r="W36" i="1"/>
  <c r="W35" i="1"/>
  <c r="W34" i="1"/>
  <c r="W33" i="1"/>
  <c r="W32" i="1"/>
  <c r="W31" i="1"/>
  <c r="W30" i="1"/>
  <c r="W29" i="1"/>
  <c r="W23" i="1"/>
  <c r="W22" i="1"/>
  <c r="W21" i="1"/>
  <c r="W20" i="1"/>
  <c r="W19" i="1"/>
  <c r="W17" i="1"/>
  <c r="W16" i="1"/>
  <c r="W15" i="1"/>
  <c r="W14" i="1"/>
  <c r="W13" i="1"/>
  <c r="W12" i="1"/>
  <c r="W11" i="1"/>
  <c r="W10" i="1"/>
  <c r="W9" i="1"/>
  <c r="W8" i="1"/>
  <c r="W7" i="1"/>
</calcChain>
</file>

<file path=xl/sharedStrings.xml><?xml version="1.0" encoding="utf-8"?>
<sst xmlns="http://schemas.openxmlformats.org/spreadsheetml/2006/main" count="478" uniqueCount="338">
  <si>
    <t>List of Entreprenures supported by JICA program</t>
    <phoneticPr fontId="2"/>
  </si>
  <si>
    <t>අනු අංකය
(Seq. No.)</t>
    <phoneticPr fontId="2"/>
  </si>
  <si>
    <t>Questionnaire No.</t>
    <phoneticPr fontId="2"/>
  </si>
  <si>
    <t>ප්‍රාදේශීය ලේකම් කොට්ඨාශය
(Divisional Secretariat)</t>
    <phoneticPr fontId="2"/>
  </si>
  <si>
    <r>
      <rPr>
        <sz val="11"/>
        <color theme="1"/>
        <rFont val="Nirmala UI"/>
        <family val="2"/>
        <charset val="128"/>
      </rPr>
      <t>කර්මාන්තයේ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irmala UI"/>
        <family val="2"/>
        <charset val="128"/>
      </rPr>
      <t xml:space="preserve">නම
</t>
    </r>
    <r>
      <rPr>
        <sz val="11"/>
        <color theme="1"/>
        <rFont val="Arial"/>
        <family val="2"/>
      </rPr>
      <t>(Name of Enterprise)</t>
    </r>
    <phoneticPr fontId="2"/>
  </si>
  <si>
    <t>Name of Owner/Chairman/Manger</t>
    <phoneticPr fontId="2"/>
  </si>
  <si>
    <t>ලිපිනය
(Address)</t>
    <phoneticPr fontId="2"/>
  </si>
  <si>
    <t>දුරකථන අංකය
(Tel. No)</t>
    <phoneticPr fontId="2"/>
  </si>
  <si>
    <t>Production Category</t>
    <phoneticPr fontId="2"/>
  </si>
  <si>
    <t>Year Estabilished</t>
    <phoneticPr fontId="2"/>
  </si>
  <si>
    <t>Registration</t>
    <phoneticPr fontId="2"/>
  </si>
  <si>
    <t>Cluster</t>
    <phoneticPr fontId="2"/>
  </si>
  <si>
    <t>Evaluation Results</t>
    <phoneticPr fontId="2"/>
  </si>
  <si>
    <t>Name</t>
    <phoneticPr fontId="2"/>
  </si>
  <si>
    <t>Type</t>
    <phoneticPr fontId="2"/>
  </si>
  <si>
    <t>Year</t>
    <phoneticPr fontId="2"/>
  </si>
  <si>
    <t>Total</t>
    <phoneticPr fontId="2"/>
  </si>
  <si>
    <t>(Anuradhapura)</t>
    <phoneticPr fontId="2"/>
  </si>
  <si>
    <t>An-01</t>
    <phoneticPr fontId="2"/>
  </si>
  <si>
    <t>Rajanganaya</t>
    <phoneticPr fontId="2"/>
  </si>
  <si>
    <t>MANA Ceylon Manufactures (Pvt) Ltd.</t>
    <phoneticPr fontId="2"/>
  </si>
  <si>
    <t>Mr. Ranil Wasantha</t>
    <phoneticPr fontId="2"/>
  </si>
  <si>
    <t>Rajanganaya Track No. 13/14</t>
    <phoneticPr fontId="2"/>
  </si>
  <si>
    <t>0714901088</t>
    <phoneticPr fontId="2"/>
  </si>
  <si>
    <t>Paper products</t>
    <phoneticPr fontId="2"/>
  </si>
  <si>
    <t>Private limited company</t>
    <phoneticPr fontId="2"/>
  </si>
  <si>
    <t>D</t>
    <phoneticPr fontId="2"/>
  </si>
  <si>
    <t>An-02</t>
    <phoneticPr fontId="2"/>
  </si>
  <si>
    <t>An-02</t>
  </si>
  <si>
    <t>Thalawa</t>
    <phoneticPr fontId="2"/>
  </si>
  <si>
    <t>Crystal Pearl (Pvt) Ltd.</t>
    <phoneticPr fontId="2"/>
  </si>
  <si>
    <t>Mr. S.M. Asanka</t>
    <phoneticPr fontId="2"/>
  </si>
  <si>
    <t>No.36, Kumbukkanda, Maha Iluppallam</t>
    <phoneticPr fontId="2"/>
  </si>
  <si>
    <t>0766544346</t>
    <phoneticPr fontId="2"/>
  </si>
  <si>
    <t>Vergin coconut oil products</t>
    <phoneticPr fontId="2"/>
  </si>
  <si>
    <t>B</t>
    <phoneticPr fontId="2"/>
  </si>
  <si>
    <t>An-03</t>
  </si>
  <si>
    <t>NPE</t>
    <phoneticPr fontId="2"/>
  </si>
  <si>
    <t xml:space="preserve">N-Ceylon </t>
  </si>
  <si>
    <t>Ms. T.M.P. Tenakoon</t>
    <phoneticPr fontId="2"/>
  </si>
  <si>
    <t>No. 2540, Senanayake Mawatha, Anuradhapura</t>
    <phoneticPr fontId="2"/>
  </si>
  <si>
    <t>0777308365</t>
    <phoneticPr fontId="2"/>
  </si>
  <si>
    <t>Dehydrated foods (herbal, spices)</t>
    <phoneticPr fontId="2"/>
  </si>
  <si>
    <t>Sole proprietorship</t>
    <phoneticPr fontId="2"/>
  </si>
  <si>
    <t>A</t>
    <phoneticPr fontId="2"/>
  </si>
  <si>
    <t>An-05</t>
    <phoneticPr fontId="2"/>
  </si>
  <si>
    <t>An-04</t>
  </si>
  <si>
    <t>Nochchiyagama</t>
    <phoneticPr fontId="2"/>
  </si>
  <si>
    <t>RM Products</t>
    <phoneticPr fontId="2"/>
  </si>
  <si>
    <t>Ms. P. Manel Kumari Wanninayake</t>
    <phoneticPr fontId="2"/>
  </si>
  <si>
    <t>Manelwewa, Pahalahalmillawa</t>
    <phoneticPr fontId="2"/>
  </si>
  <si>
    <t>0765517020</t>
    <phoneticPr fontId="2"/>
  </si>
  <si>
    <t>An-04</t>
    <phoneticPr fontId="2"/>
  </si>
  <si>
    <t>An-05</t>
  </si>
  <si>
    <t>NPC</t>
    <phoneticPr fontId="2"/>
  </si>
  <si>
    <t>Pramode Rice</t>
    <phoneticPr fontId="2"/>
  </si>
  <si>
    <t>Mrs. M. Kusumalatha</t>
    <phoneticPr fontId="2"/>
  </si>
  <si>
    <t>No. 94, Jayanthigrama, Saliyapura</t>
    <phoneticPr fontId="2"/>
  </si>
  <si>
    <t>0712112458</t>
    <phoneticPr fontId="2"/>
  </si>
  <si>
    <t>Traditional rice</t>
    <phoneticPr fontId="2"/>
  </si>
  <si>
    <t>An-03</t>
    <phoneticPr fontId="2"/>
  </si>
  <si>
    <t>An-06</t>
  </si>
  <si>
    <t>Tyni Tiyana Enterprises</t>
    <phoneticPr fontId="2"/>
  </si>
  <si>
    <t>Mr. N. G. L. Waruna Lakmal Nanayakkara</t>
    <phoneticPr fontId="2"/>
  </si>
  <si>
    <t>2nd Lane, Sandagama, Aaththikulama, Nelumkulama</t>
    <phoneticPr fontId="2"/>
  </si>
  <si>
    <t>0770305001</t>
    <phoneticPr fontId="2"/>
  </si>
  <si>
    <t>An-07</t>
    <phoneticPr fontId="2"/>
  </si>
  <si>
    <t>An-07</t>
  </si>
  <si>
    <t>Kekirawa</t>
    <phoneticPr fontId="2"/>
  </si>
  <si>
    <t xml:space="preserve">Mihiri Food Products </t>
    <phoneticPr fontId="2"/>
  </si>
  <si>
    <t>Mr. H.B.M. Anura Weerakoon</t>
    <phoneticPr fontId="2"/>
  </si>
  <si>
    <t>No. 78, Adiyagala Road, Madatugama</t>
    <phoneticPr fontId="2"/>
  </si>
  <si>
    <t>0716450356</t>
    <phoneticPr fontId="2"/>
  </si>
  <si>
    <t>Rice flour products</t>
    <phoneticPr fontId="2"/>
  </si>
  <si>
    <t>An-06</t>
    <phoneticPr fontId="2"/>
  </si>
  <si>
    <t>An-08</t>
  </si>
  <si>
    <t>Galenbidunuwewa</t>
    <phoneticPr fontId="2"/>
  </si>
  <si>
    <t>Kalara Products</t>
    <phoneticPr fontId="2"/>
  </si>
  <si>
    <t>Ms. B.M. Anoma Kumari</t>
    <phoneticPr fontId="2"/>
  </si>
  <si>
    <t>No. 211, Sunda Mawatha, Megodawewa</t>
    <phoneticPr fontId="2"/>
  </si>
  <si>
    <t>0742311862</t>
    <phoneticPr fontId="2"/>
  </si>
  <si>
    <t>Dehydrated Foods (Herbal, Spices)</t>
    <phoneticPr fontId="2"/>
  </si>
  <si>
    <t>Sole proprietorship</t>
  </si>
  <si>
    <t>An-08</t>
    <phoneticPr fontId="2"/>
  </si>
  <si>
    <t>An-09</t>
  </si>
  <si>
    <t>Sasoba Enterprises</t>
    <phoneticPr fontId="2"/>
  </si>
  <si>
    <t>Mr. Hasalaka Prabath Manwadu</t>
    <phoneticPr fontId="2"/>
  </si>
  <si>
    <t>N0. 201, Padikaramaduwa</t>
    <phoneticPr fontId="2"/>
  </si>
  <si>
    <t>0770609292</t>
    <phoneticPr fontId="2"/>
  </si>
  <si>
    <t>Coconut husk chips</t>
    <phoneticPr fontId="2"/>
  </si>
  <si>
    <t>An-09</t>
    <phoneticPr fontId="2"/>
  </si>
  <si>
    <t>An-10</t>
  </si>
  <si>
    <t>Ranjith Products</t>
    <phoneticPr fontId="2"/>
  </si>
  <si>
    <t>Mr. H.M. Ranjith Prasana Kumara</t>
    <phoneticPr fontId="2"/>
  </si>
  <si>
    <t>D5, Ela Road, Mudungoda, Kirogama</t>
    <phoneticPr fontId="2"/>
  </si>
  <si>
    <t>0713912176</t>
    <phoneticPr fontId="2"/>
  </si>
  <si>
    <t>Dehydrated foods (spices)</t>
    <phoneticPr fontId="2"/>
  </si>
  <si>
    <t>An-10</t>
    <phoneticPr fontId="2"/>
  </si>
  <si>
    <t>An-11</t>
  </si>
  <si>
    <t>Parami Dairy (Pvt) Ltd.</t>
    <phoneticPr fontId="2"/>
  </si>
  <si>
    <t>Ms. W.M. Ajith Kumara
Mr. R.A. Gayani Ranathunga</t>
    <phoneticPr fontId="2"/>
  </si>
  <si>
    <t>Katakaale, Kiralogama</t>
    <phoneticPr fontId="2"/>
  </si>
  <si>
    <t>0769121002</t>
    <phoneticPr fontId="2"/>
  </si>
  <si>
    <t>Dairy products</t>
    <phoneticPr fontId="2"/>
  </si>
  <si>
    <t>C</t>
    <phoneticPr fontId="2"/>
  </si>
  <si>
    <t>An-14</t>
    <phoneticPr fontId="2"/>
  </si>
  <si>
    <t>An-12</t>
  </si>
  <si>
    <t>Rajanganaya A-park Ltd (PUC)</t>
    <phoneticPr fontId="2"/>
  </si>
  <si>
    <t>Mr. M.G.P. Buddiga</t>
    <phoneticPr fontId="2"/>
  </si>
  <si>
    <t>Rajanganaya Track No. 4</t>
    <phoneticPr fontId="2"/>
  </si>
  <si>
    <t>0771734864</t>
    <phoneticPr fontId="2"/>
  </si>
  <si>
    <t>Banana fruits</t>
    <phoneticPr fontId="2"/>
  </si>
  <si>
    <t>Public unlimited company</t>
    <phoneticPr fontId="2"/>
  </si>
  <si>
    <t>An-16</t>
    <phoneticPr fontId="2"/>
  </si>
  <si>
    <t>An-13</t>
  </si>
  <si>
    <t>Mihintalee</t>
    <phoneticPr fontId="2"/>
  </si>
  <si>
    <t>Saratha Product and Services</t>
    <phoneticPr fontId="2"/>
  </si>
  <si>
    <t>Ms. A.D. Assilin
Mr. W.D.D. Somarathna</t>
    <phoneticPr fontId="2"/>
  </si>
  <si>
    <t>Nanana Pahana, Anuradhapura Road</t>
    <phoneticPr fontId="2"/>
  </si>
  <si>
    <t>0764165259</t>
    <phoneticPr fontId="2"/>
  </si>
  <si>
    <t>An-11</t>
    <phoneticPr fontId="2"/>
  </si>
  <si>
    <t>An-14</t>
  </si>
  <si>
    <t>Lanka Kings Food Products</t>
    <phoneticPr fontId="2"/>
  </si>
  <si>
    <t>Mr. Chintana
Ms. M.U. Avanthi Aponsu</t>
    <phoneticPr fontId="2"/>
  </si>
  <si>
    <t>601/46/1, Samagi Udaya, Airport Road, Anuradhapura</t>
    <phoneticPr fontId="2"/>
  </si>
  <si>
    <t>0711460287</t>
    <phoneticPr fontId="2"/>
  </si>
  <si>
    <t>Fruits juice</t>
    <phoneticPr fontId="2"/>
  </si>
  <si>
    <t>An-13</t>
    <phoneticPr fontId="2"/>
  </si>
  <si>
    <t>An-15</t>
  </si>
  <si>
    <t>Coco Heat Lanka Enterprises (Pathilana)</t>
    <phoneticPr fontId="2"/>
  </si>
  <si>
    <t>Mr. B.P. Samanthilaka</t>
    <phoneticPr fontId="2"/>
  </si>
  <si>
    <t>Waragoda, Kekirawa Road</t>
    <phoneticPr fontId="2"/>
  </si>
  <si>
    <t>0710133465</t>
    <phoneticPr fontId="2"/>
  </si>
  <si>
    <t>Coconut shell charcoal</t>
    <phoneticPr fontId="2"/>
  </si>
  <si>
    <t>An-12</t>
    <phoneticPr fontId="2"/>
  </si>
  <si>
    <t>An-16</t>
  </si>
  <si>
    <t>S&amp;M Agro (Pvt) Ltd. (Sampath)</t>
    <phoneticPr fontId="2"/>
  </si>
  <si>
    <t>Mr. A.A. Sampath Manjula Kumara</t>
    <phoneticPr fontId="2"/>
  </si>
  <si>
    <t>No. 64, South Bank</t>
    <phoneticPr fontId="2"/>
  </si>
  <si>
    <t>0764456000</t>
    <phoneticPr fontId="2"/>
  </si>
  <si>
    <t>King coconut fruits</t>
    <phoneticPr fontId="2"/>
  </si>
  <si>
    <t>An-15</t>
    <phoneticPr fontId="2"/>
  </si>
  <si>
    <t>An-17</t>
  </si>
  <si>
    <t>Thambuttegama</t>
    <phoneticPr fontId="2"/>
  </si>
  <si>
    <t>Royal Food Lanka (Pvt) Ltd.</t>
    <phoneticPr fontId="2"/>
  </si>
  <si>
    <t>Mr. D.A.B. Epitawaththa</t>
    <phoneticPr fontId="2"/>
  </si>
  <si>
    <t>Rajanganaya Junction</t>
    <phoneticPr fontId="2"/>
  </si>
  <si>
    <t>0724230065</t>
    <phoneticPr fontId="2"/>
  </si>
  <si>
    <t>Fruits juice,
Sweet bites</t>
    <phoneticPr fontId="2"/>
  </si>
  <si>
    <t>An-17</t>
    <phoneticPr fontId="2"/>
  </si>
  <si>
    <t>An-18</t>
  </si>
  <si>
    <t>Medawachchiya</t>
    <phoneticPr fontId="2"/>
  </si>
  <si>
    <t>Sameera Sesame Product</t>
    <phoneticPr fontId="2"/>
  </si>
  <si>
    <t>Mr. Saman Amarasiri</t>
    <phoneticPr fontId="2"/>
  </si>
  <si>
    <t>No. 15, Sangalikanadarawa</t>
    <phoneticPr fontId="2"/>
  </si>
  <si>
    <t>0761753570</t>
    <phoneticPr fontId="2"/>
  </si>
  <si>
    <t>Sesame sweet bites</t>
    <phoneticPr fontId="2"/>
  </si>
  <si>
    <t>An-20</t>
    <phoneticPr fontId="2"/>
  </si>
  <si>
    <t>An-19</t>
  </si>
  <si>
    <t>Devaki Agro Industries (Pvt) Ltd.</t>
    <phoneticPr fontId="2"/>
  </si>
  <si>
    <t>Mr. Subramaniyam Prathap</t>
    <phoneticPr fontId="2"/>
  </si>
  <si>
    <t>No.90, Sekkupitiya</t>
    <phoneticPr fontId="2"/>
  </si>
  <si>
    <t>0777344784</t>
    <phoneticPr fontId="2"/>
  </si>
  <si>
    <t>Food oil (Sesame, Butter tree, Neem, Mustard)</t>
    <phoneticPr fontId="2"/>
  </si>
  <si>
    <t>An-19</t>
    <phoneticPr fontId="2"/>
  </si>
  <si>
    <t>An-20</t>
  </si>
  <si>
    <t>Thirapane</t>
    <phoneticPr fontId="2"/>
  </si>
  <si>
    <t>Rain Eco Products (Pvt) Ltd.</t>
    <phoneticPr fontId="2"/>
  </si>
  <si>
    <t>Mr. Ranjith Dissanayake</t>
    <phoneticPr fontId="2"/>
  </si>
  <si>
    <t>Kekirawa Road</t>
    <phoneticPr fontId="2"/>
  </si>
  <si>
    <t>0774942530</t>
    <phoneticPr fontId="2"/>
  </si>
  <si>
    <t>Dehydrated foods (herbal paroducts)</t>
    <phoneticPr fontId="2"/>
  </si>
  <si>
    <t>An-18</t>
    <phoneticPr fontId="2"/>
  </si>
  <si>
    <t>An-21</t>
  </si>
  <si>
    <t>Jayamali Herbal &amp; Grain Products</t>
    <phoneticPr fontId="2"/>
  </si>
  <si>
    <t>Mr. M.W.N.S. Senevirathna</t>
    <phoneticPr fontId="2"/>
  </si>
  <si>
    <t>Ganickkulama, Uttimaduwa</t>
    <phoneticPr fontId="2"/>
  </si>
  <si>
    <t>0711093485</t>
    <phoneticPr fontId="2"/>
  </si>
  <si>
    <t>(Polonnaruwa)</t>
    <phoneticPr fontId="2"/>
  </si>
  <si>
    <t>Po-1</t>
    <phoneticPr fontId="2"/>
  </si>
  <si>
    <t>Po-01</t>
    <phoneticPr fontId="2"/>
  </si>
  <si>
    <t>Thamankaduwa</t>
    <phoneticPr fontId="2"/>
  </si>
  <si>
    <t>Minchi Bite Products</t>
    <phoneticPr fontId="2"/>
  </si>
  <si>
    <t>Mr. S.R.M.U.M. Wijerathna</t>
    <phoneticPr fontId="2"/>
  </si>
  <si>
    <t>No. 125/3, Chamindu Sewana, Ethumalpitiya</t>
    <phoneticPr fontId="2"/>
  </si>
  <si>
    <t>0714421128</t>
    <phoneticPr fontId="2"/>
  </si>
  <si>
    <t>Cassava chips, Spicy bites</t>
    <phoneticPr fontId="2"/>
  </si>
  <si>
    <t>Po-3</t>
    <phoneticPr fontId="2"/>
  </si>
  <si>
    <t>Po-02</t>
  </si>
  <si>
    <t>Welikanda</t>
    <phoneticPr fontId="2"/>
  </si>
  <si>
    <t>Welagedara Products</t>
    <phoneticPr fontId="2"/>
  </si>
  <si>
    <t>Mr. W G K M Ovin Sampath</t>
    <phoneticPr fontId="2"/>
  </si>
  <si>
    <t>No.15, Magulpokuna</t>
    <phoneticPr fontId="2"/>
  </si>
  <si>
    <t>0785380185</t>
    <phoneticPr fontId="2"/>
  </si>
  <si>
    <t>Po-2</t>
    <phoneticPr fontId="2"/>
  </si>
  <si>
    <t>Po-03</t>
  </si>
  <si>
    <t>Elahera</t>
    <phoneticPr fontId="2"/>
  </si>
  <si>
    <t xml:space="preserve">Lithara Products (Pvt) Ltd. </t>
    <phoneticPr fontId="2"/>
  </si>
  <si>
    <t>Mr. Amith Tharanga</t>
    <phoneticPr fontId="2"/>
  </si>
  <si>
    <t>No. 3073/508, Alekembulawa, Diyabeduma</t>
    <phoneticPr fontId="2"/>
  </si>
  <si>
    <t>0762259124</t>
    <phoneticPr fontId="2"/>
  </si>
  <si>
    <t>Po-4</t>
    <phoneticPr fontId="2"/>
  </si>
  <si>
    <t>Po-04</t>
  </si>
  <si>
    <t>Vonro Milk Products</t>
    <phoneticPr fontId="2"/>
  </si>
  <si>
    <t>Mr. L.L Thusara</t>
    <phoneticPr fontId="2"/>
  </si>
  <si>
    <t>No. 3/7, Circuler Road Wasundara Mawatha, Polonnaruwa New Town</t>
    <phoneticPr fontId="2"/>
  </si>
  <si>
    <t>0719091432</t>
    <phoneticPr fontId="2"/>
  </si>
  <si>
    <t>Po-7</t>
    <phoneticPr fontId="2"/>
  </si>
  <si>
    <t>Po-05</t>
  </si>
  <si>
    <t>Madirigiriya</t>
    <phoneticPr fontId="2"/>
  </si>
  <si>
    <t>Weerasinha Spice Products</t>
    <phoneticPr fontId="2"/>
  </si>
  <si>
    <t>Mr. K G A S Weerasinha</t>
    <phoneticPr fontId="2"/>
  </si>
  <si>
    <t>No. 480, Biso uyana , Diyasenpura</t>
    <phoneticPr fontId="2"/>
  </si>
  <si>
    <t>0760672302</t>
    <phoneticPr fontId="2"/>
  </si>
  <si>
    <t>Po-6</t>
    <phoneticPr fontId="2"/>
  </si>
  <si>
    <t>Po-06</t>
  </si>
  <si>
    <t>NKD Products (Nanayakkara)</t>
    <phoneticPr fontId="2"/>
  </si>
  <si>
    <t>Mr. N.K.D.Udara Thaksila</t>
    <phoneticPr fontId="2"/>
  </si>
  <si>
    <t>No. 1120/1, Shanthipura, Unagalawehera</t>
    <phoneticPr fontId="2"/>
  </si>
  <si>
    <t>0775466695</t>
    <phoneticPr fontId="2"/>
  </si>
  <si>
    <t>Po-5</t>
    <phoneticPr fontId="2"/>
  </si>
  <si>
    <t>Po-07</t>
  </si>
  <si>
    <t>Amasha Sweet House</t>
    <phoneticPr fontId="2"/>
  </si>
  <si>
    <t>Mr. K.A. Presanna Puspakumara</t>
    <phoneticPr fontId="2"/>
  </si>
  <si>
    <t>No. 318, Yaya 12, Nagarapura, Ambagaswewa</t>
    <phoneticPr fontId="2"/>
  </si>
  <si>
    <t>0786981802</t>
    <phoneticPr fontId="2"/>
  </si>
  <si>
    <t>Sweet bites (Ash pumpkin)</t>
    <phoneticPr fontId="2"/>
  </si>
  <si>
    <t>Po-8</t>
    <phoneticPr fontId="2"/>
  </si>
  <si>
    <t>Po-08</t>
  </si>
  <si>
    <t>Hingutakgoda</t>
    <phoneticPr fontId="2"/>
  </si>
  <si>
    <t>Rusiru Yoghurt</t>
    <phoneticPr fontId="2"/>
  </si>
  <si>
    <t>Mr. T. Harsha Sameera</t>
    <phoneticPr fontId="2"/>
  </si>
  <si>
    <t>30/14, Thambalawewa , Jayanthipura</t>
    <phoneticPr fontId="2"/>
  </si>
  <si>
    <t>0777201900</t>
    <phoneticPr fontId="2"/>
  </si>
  <si>
    <t>Ulankulama Dairies (Pvt) Ltd.</t>
    <phoneticPr fontId="2"/>
  </si>
  <si>
    <t>Mr. Isuru Chandasekera</t>
    <phoneticPr fontId="2"/>
  </si>
  <si>
    <t>Ulankulama, Maradankadawala</t>
    <phoneticPr fontId="2"/>
  </si>
  <si>
    <t>0255678489</t>
    <phoneticPr fontId="2"/>
  </si>
  <si>
    <t>Healthy Foods Lanka Exports (Pvt) Ltd.</t>
    <phoneticPr fontId="2"/>
  </si>
  <si>
    <t>Mr. D.G.N. Karunathilaka</t>
  </si>
  <si>
    <t>Maliyadewa Mawatha, Anuradhapura</t>
    <phoneticPr fontId="2"/>
  </si>
  <si>
    <t>0718109532</t>
    <phoneticPr fontId="2"/>
  </si>
  <si>
    <t>Thambuththegama</t>
    <phoneticPr fontId="2"/>
  </si>
  <si>
    <t>EV Ceylon Nature Product</t>
    <phoneticPr fontId="2"/>
  </si>
  <si>
    <t>Salpage Ransi</t>
    <phoneticPr fontId="2"/>
  </si>
  <si>
    <t>0775066627</t>
    <phoneticPr fontId="2"/>
  </si>
  <si>
    <t>Shenu Mushroom Production/
Casky Products</t>
    <phoneticPr fontId="2"/>
  </si>
  <si>
    <t>Mr. H.M. Asoka Herath/
Mr. R.G.C. Jayathilaka</t>
    <phoneticPr fontId="2"/>
  </si>
  <si>
    <t>Pihibiyagollawa</t>
    <phoneticPr fontId="2"/>
  </si>
  <si>
    <t xml:space="preserve">
'0769000393</t>
    <phoneticPr fontId="2"/>
  </si>
  <si>
    <t>Mushroom production
Dehydrated foods</t>
    <phoneticPr fontId="2"/>
  </si>
  <si>
    <t>E</t>
    <phoneticPr fontId="2"/>
  </si>
  <si>
    <t>Green Agro Ventures (Pvt) Ltd.</t>
    <phoneticPr fontId="2"/>
  </si>
  <si>
    <t>Mr. R.M.P. Pathirana</t>
    <phoneticPr fontId="2"/>
  </si>
  <si>
    <t>81, Kubuk Anda, Mahailluppallama</t>
    <phoneticPr fontId="2"/>
  </si>
  <si>
    <t>Mushroom production</t>
    <phoneticPr fontId="2"/>
  </si>
  <si>
    <t>Bimmala Mushroom Product</t>
    <phoneticPr fontId="2"/>
  </si>
  <si>
    <t>Ms. M.I.A.I. Nupama Malidew Liyanage</t>
    <phoneticPr fontId="2"/>
  </si>
  <si>
    <t>1st Mile post, Thalawa Road</t>
    <phoneticPr fontId="2"/>
  </si>
  <si>
    <t>0768986253</t>
    <phoneticPr fontId="2"/>
  </si>
  <si>
    <t>Horopathana</t>
    <phoneticPr fontId="2"/>
  </si>
  <si>
    <t>Thennakoon Product</t>
    <phoneticPr fontId="2"/>
  </si>
  <si>
    <t>Ms. B.M.S.M Tennakoon</t>
    <phoneticPr fontId="2"/>
  </si>
  <si>
    <t>Kibulpatiyawa, Mahapothana</t>
    <phoneticPr fontId="2"/>
  </si>
  <si>
    <t>077134807</t>
    <phoneticPr fontId="2"/>
  </si>
  <si>
    <t>Milk toffee</t>
    <phoneticPr fontId="2"/>
  </si>
  <si>
    <t>Galenbidunuwewa</t>
  </si>
  <si>
    <t>Three Star (Dairy)</t>
    <phoneticPr fontId="2"/>
  </si>
  <si>
    <t>Ms. G.G. Asoka</t>
  </si>
  <si>
    <t>Kibulpatiyawa, Mahapothana</t>
  </si>
  <si>
    <t>077134807</t>
  </si>
  <si>
    <t>Dairy products</t>
  </si>
  <si>
    <t>Walauwa Production</t>
    <phoneticPr fontId="2"/>
  </si>
  <si>
    <t>Ms. Manel Mangalika Gunarathna</t>
    <phoneticPr fontId="2"/>
  </si>
  <si>
    <t>Kudawewa Road</t>
    <phoneticPr fontId="2"/>
  </si>
  <si>
    <t>0769396828</t>
    <phoneticPr fontId="2"/>
  </si>
  <si>
    <t>Andrawewa Agri (PUC)</t>
    <phoneticPr fontId="2"/>
  </si>
  <si>
    <t>Ms. W.M. Wimalawathi</t>
    <phoneticPr fontId="2"/>
  </si>
  <si>
    <t>Andrawewa</t>
    <phoneticPr fontId="2"/>
  </si>
  <si>
    <t>Passion fruits production</t>
    <phoneticPr fontId="2"/>
  </si>
  <si>
    <t>Public Unlimited Company</t>
    <phoneticPr fontId="2"/>
  </si>
  <si>
    <t>Rambewa</t>
    <phoneticPr fontId="2"/>
  </si>
  <si>
    <t>MRF Enterprise</t>
    <phoneticPr fontId="2"/>
  </si>
  <si>
    <t>Mr. M.R. Fareed</t>
    <phoneticPr fontId="2"/>
  </si>
  <si>
    <t>Kolibandawewa, Parasangaswewa</t>
    <phoneticPr fontId="2"/>
  </si>
  <si>
    <t>0779620605</t>
    <phoneticPr fontId="2"/>
  </si>
  <si>
    <t>Animal (chicken) feed</t>
    <phoneticPr fontId="2"/>
  </si>
  <si>
    <t>Hela Rasa (Pvt) Ltd.</t>
    <phoneticPr fontId="2"/>
  </si>
  <si>
    <t>Ms. R.D.M.J.B. Rajakaruna</t>
    <phoneticPr fontId="2"/>
  </si>
  <si>
    <t>Amane, Srawasthipura</t>
    <phoneticPr fontId="2"/>
  </si>
  <si>
    <t>Noodles, Pasta, Bites</t>
    <phoneticPr fontId="2"/>
  </si>
  <si>
    <t xml:space="preserve">Rajanganaya Export </t>
    <phoneticPr fontId="2"/>
  </si>
  <si>
    <t>Mr. R.R Dimuthu Sandaruwan</t>
  </si>
  <si>
    <t>Rajanganaya Track No. 5</t>
    <phoneticPr fontId="2"/>
  </si>
  <si>
    <t>King coconut fruits, Papaya</t>
    <phoneticPr fontId="2"/>
  </si>
  <si>
    <t>DNM Mushroom</t>
    <phoneticPr fontId="2"/>
  </si>
  <si>
    <t>Mr. W. P. D. Perera</t>
    <phoneticPr fontId="2"/>
  </si>
  <si>
    <t>LB9, Kaudulla</t>
  </si>
  <si>
    <t>0779186712</t>
    <phoneticPr fontId="2"/>
  </si>
  <si>
    <t>Thamankaduwa</t>
  </si>
  <si>
    <t>Pulathisi Supipi Mushroom</t>
    <phoneticPr fontId="2"/>
  </si>
  <si>
    <t>Mr. H.P. Sujith Asanka
Ms. K.M. Prasadi Priyanga Kumari</t>
    <phoneticPr fontId="2"/>
  </si>
  <si>
    <t>No. 253/3, 4 Ela, Polonnaruwa</t>
    <phoneticPr fontId="2"/>
  </si>
  <si>
    <t>0773343587</t>
    <phoneticPr fontId="2"/>
  </si>
  <si>
    <t>Mushroom production/
Banana chips</t>
    <phoneticPr fontId="2"/>
  </si>
  <si>
    <t>New Nirosha Dairy Products</t>
    <phoneticPr fontId="2"/>
  </si>
  <si>
    <t xml:space="preserve">Ms. B.A. Dilrukshi </t>
    <phoneticPr fontId="2"/>
  </si>
  <si>
    <t>52, Shanthi lane, Kaduruweala, Thamankaduwa</t>
    <phoneticPr fontId="2"/>
  </si>
  <si>
    <t>0777742922</t>
    <phoneticPr fontId="2"/>
  </si>
  <si>
    <t>RSI Dry Products</t>
    <phoneticPr fontId="2"/>
  </si>
  <si>
    <t>Ms. W. Reeta Fernando</t>
    <phoneticPr fontId="2"/>
  </si>
  <si>
    <t>890/3, Unagalawehera</t>
  </si>
  <si>
    <t>0777481157</t>
    <phoneticPr fontId="2"/>
  </si>
  <si>
    <t>Lankapura</t>
  </si>
  <si>
    <t>N&amp;L Mushroom Products</t>
    <phoneticPr fontId="2"/>
  </si>
  <si>
    <t>Mr. P. D. Dilshan Hasitha</t>
    <phoneticPr fontId="2"/>
  </si>
  <si>
    <t>68, Akkara 45, Thalpotha</t>
  </si>
  <si>
    <t>0713510118</t>
    <phoneticPr fontId="2"/>
  </si>
  <si>
    <t>Leo Foods (Pvt) Ltd.</t>
    <phoneticPr fontId="2"/>
  </si>
  <si>
    <t>Mr. Isuru</t>
    <phoneticPr fontId="2"/>
  </si>
  <si>
    <t>Kottepitiya</t>
    <phoneticPr fontId="2"/>
  </si>
  <si>
    <t xml:space="preserve">0714223919 </t>
    <phoneticPr fontId="2"/>
  </si>
  <si>
    <t>KPG Mushroom Products</t>
    <phoneticPr fontId="2"/>
  </si>
  <si>
    <t>Ms. K.P.G. Pathmalatha</t>
    <phoneticPr fontId="2"/>
  </si>
  <si>
    <t>Gangeyaya</t>
    <phoneticPr fontId="2"/>
  </si>
  <si>
    <t>0719160453</t>
    <phoneticPr fontId="2"/>
  </si>
  <si>
    <t>Sha Food Products (Pvt) Ltd.</t>
    <phoneticPr fontId="2"/>
  </si>
  <si>
    <t>Mr. Vimukthi Saranga</t>
    <phoneticPr fontId="2"/>
  </si>
  <si>
    <t>No. 36, Samapura, New Town</t>
    <phoneticPr fontId="2"/>
  </si>
  <si>
    <t>0788756998</t>
    <phoneticPr fontId="2"/>
  </si>
  <si>
    <t>Fruit drink</t>
  </si>
  <si>
    <t>Po-9</t>
    <phoneticPr fontId="2"/>
  </si>
  <si>
    <t>Kumari Tea Marketing</t>
    <phoneticPr fontId="2"/>
  </si>
  <si>
    <t>A.G. Hiran Jayasingha</t>
    <phoneticPr fontId="2"/>
  </si>
  <si>
    <t>0774129154</t>
    <phoneticPr fontId="2"/>
  </si>
  <si>
    <t>Sesami sweets</t>
    <phoneticPr fontId="2"/>
  </si>
  <si>
    <t>E-mail</t>
    <phoneticPr fontId="2"/>
  </si>
  <si>
    <t>Postal Code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</si>
</sst>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Arial"/>
      <family val="2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128"/>
    </font>
    <font>
      <sz val="11"/>
      <color theme="1"/>
      <name val="Nirmala UI"/>
      <family val="2"/>
      <charset val="128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14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right" vertical="center" wrapText="1"/>
    </xf>
    <xf numFmtId="14" fontId="8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1" xfId="0" quotePrefix="1" applyFont="1" applyBorder="1" applyAlignment="1">
      <alignment horizontal="right" vertical="center" wrapText="1"/>
    </xf>
    <xf numFmtId="14" fontId="6" fillId="0" borderId="0" xfId="0" applyNumberFormat="1" applyFont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124C-8290-4F41-A4A0-4CC2F9CD0664}">
  <sheetPr>
    <pageSetUpPr fitToPage="1"/>
  </sheetPr>
  <dimension ref="A1:AI65"/>
  <sheetViews>
    <sheetView tabSelected="1" workbookViewId="0">
      <pane xSplit="4" ySplit="4" topLeftCell="H5" activePane="bottomRight" state="frozen"/>
      <selection pane="topRight" activeCell="D1" sqref="D1"/>
      <selection pane="bottomLeft" activeCell="A5" sqref="A5"/>
      <selection pane="bottomRight" activeCell="N1" sqref="N1:O1048576"/>
    </sheetView>
  </sheetViews>
  <sheetFormatPr defaultColWidth="8.6640625" defaultRowHeight="14" x14ac:dyDescent="0.55000000000000004"/>
  <cols>
    <col min="1" max="1" width="2.83203125" style="12" hidden="1" customWidth="1"/>
    <col min="2" max="2" width="9.75" style="12" customWidth="1"/>
    <col min="3" max="3" width="20.75" style="16" customWidth="1"/>
    <col min="4" max="4" width="28.08203125" style="16" customWidth="1"/>
    <col min="5" max="5" width="26.75" style="43" customWidth="1"/>
    <col min="6" max="6" width="31.6640625" style="16" customWidth="1"/>
    <col min="7" max="7" width="11.25" style="16" bestFit="1" customWidth="1"/>
    <col min="8" max="9" width="13.75" style="44" customWidth="1"/>
    <col min="10" max="10" width="20.33203125" style="43" customWidth="1"/>
    <col min="11" max="11" width="11.33203125" style="12" customWidth="1"/>
    <col min="12" max="12" width="14.6640625" style="16" customWidth="1"/>
    <col min="13" max="13" width="11.33203125" style="12" customWidth="1"/>
    <col min="14" max="14" width="9.33203125" style="12" customWidth="1"/>
    <col min="15" max="15" width="9.08203125" style="12" hidden="1" customWidth="1"/>
    <col min="16" max="16" width="9.9140625" style="12" hidden="1" customWidth="1"/>
    <col min="17" max="22" width="8.6640625" style="12" hidden="1" customWidth="1"/>
    <col min="23" max="23" width="9.08203125" style="5" hidden="1" customWidth="1"/>
    <col min="24" max="24" width="8.6640625" style="16" customWidth="1"/>
    <col min="25" max="16384" width="8.6640625" style="16"/>
  </cols>
  <sheetData>
    <row r="1" spans="1:23" s="2" customFormat="1" x14ac:dyDescent="0.55000000000000004">
      <c r="A1" s="1" t="s">
        <v>0</v>
      </c>
      <c r="B1" s="1"/>
      <c r="E1" s="3"/>
      <c r="H1" s="4"/>
      <c r="I1" s="4"/>
      <c r="J1" s="3"/>
      <c r="K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3" spans="1:23" s="12" customFormat="1" ht="42" customHeight="1" x14ac:dyDescent="0.55000000000000004">
      <c r="A3" s="6" t="s">
        <v>1</v>
      </c>
      <c r="B3" s="7" t="s">
        <v>2</v>
      </c>
      <c r="C3" s="6" t="s">
        <v>3</v>
      </c>
      <c r="D3" s="8" t="s">
        <v>4</v>
      </c>
      <c r="E3" s="7" t="s">
        <v>5</v>
      </c>
      <c r="F3" s="6" t="s">
        <v>6</v>
      </c>
      <c r="G3" s="7" t="s">
        <v>337</v>
      </c>
      <c r="H3" s="6" t="s">
        <v>7</v>
      </c>
      <c r="I3" s="7" t="s">
        <v>336</v>
      </c>
      <c r="J3" s="45" t="s">
        <v>8</v>
      </c>
      <c r="K3" s="7" t="s">
        <v>9</v>
      </c>
      <c r="L3" s="9" t="s">
        <v>10</v>
      </c>
      <c r="M3" s="10"/>
      <c r="N3" s="11" t="s">
        <v>11</v>
      </c>
      <c r="O3" s="6" t="s">
        <v>12</v>
      </c>
      <c r="P3" s="6"/>
      <c r="Q3" s="6"/>
      <c r="R3" s="6"/>
      <c r="S3" s="6"/>
      <c r="T3" s="6"/>
      <c r="U3" s="6"/>
      <c r="V3" s="6"/>
      <c r="W3" s="6"/>
    </row>
    <row r="4" spans="1:23" ht="30" customHeight="1" x14ac:dyDescent="0.55000000000000004">
      <c r="A4" s="6"/>
      <c r="B4" s="13"/>
      <c r="C4" s="6"/>
      <c r="D4" s="6"/>
      <c r="E4" s="13"/>
      <c r="F4" s="6"/>
      <c r="G4" s="13"/>
      <c r="H4" s="6"/>
      <c r="I4" s="13"/>
      <c r="J4" s="14" t="s">
        <v>13</v>
      </c>
      <c r="K4" s="13"/>
      <c r="L4" s="14" t="s">
        <v>14</v>
      </c>
      <c r="M4" s="14" t="s">
        <v>15</v>
      </c>
      <c r="O4" s="14">
        <v>1</v>
      </c>
      <c r="P4" s="14">
        <v>2</v>
      </c>
      <c r="Q4" s="14">
        <v>3</v>
      </c>
      <c r="R4" s="14">
        <v>4</v>
      </c>
      <c r="S4" s="14">
        <v>5</v>
      </c>
      <c r="T4" s="14">
        <v>6</v>
      </c>
      <c r="U4" s="14">
        <v>7</v>
      </c>
      <c r="V4" s="14">
        <v>8</v>
      </c>
      <c r="W4" s="15" t="s">
        <v>16</v>
      </c>
    </row>
    <row r="5" spans="1:23" s="24" customFormat="1" ht="30" customHeight="1" x14ac:dyDescent="0.55000000000000004">
      <c r="A5" s="17" t="s">
        <v>17</v>
      </c>
      <c r="B5" s="17" t="s">
        <v>17</v>
      </c>
      <c r="C5" s="18"/>
      <c r="D5" s="19"/>
      <c r="E5" s="19"/>
      <c r="F5" s="18"/>
      <c r="G5" s="18"/>
      <c r="H5" s="20"/>
      <c r="I5" s="20"/>
      <c r="J5" s="19"/>
      <c r="K5" s="21"/>
      <c r="L5" s="18"/>
      <c r="M5" s="21"/>
      <c r="N5" s="22"/>
      <c r="O5" s="21"/>
      <c r="P5" s="21"/>
      <c r="Q5" s="21"/>
      <c r="R5" s="21"/>
      <c r="S5" s="21"/>
      <c r="T5" s="21"/>
      <c r="U5" s="21"/>
      <c r="V5" s="21"/>
      <c r="W5" s="23"/>
    </row>
    <row r="6" spans="1:23" s="30" customFormat="1" ht="30" customHeight="1" x14ac:dyDescent="0.55000000000000004">
      <c r="A6" s="14"/>
      <c r="B6" s="14" t="s">
        <v>18</v>
      </c>
      <c r="C6" s="25" t="s">
        <v>19</v>
      </c>
      <c r="D6" s="26" t="s">
        <v>20</v>
      </c>
      <c r="E6" s="26" t="s">
        <v>21</v>
      </c>
      <c r="F6" s="25" t="s">
        <v>22</v>
      </c>
      <c r="G6" s="25"/>
      <c r="H6" s="27" t="s">
        <v>23</v>
      </c>
      <c r="I6" s="27"/>
      <c r="J6" s="26" t="s">
        <v>24</v>
      </c>
      <c r="K6" s="14">
        <v>2011</v>
      </c>
      <c r="L6" s="25" t="s">
        <v>25</v>
      </c>
      <c r="M6" s="14">
        <v>2025</v>
      </c>
      <c r="N6" s="29" t="s">
        <v>26</v>
      </c>
      <c r="O6" s="14"/>
      <c r="P6" s="14"/>
      <c r="Q6" s="14"/>
      <c r="R6" s="14"/>
      <c r="S6" s="14"/>
      <c r="T6" s="14"/>
      <c r="U6" s="14"/>
      <c r="V6" s="14"/>
      <c r="W6" s="15"/>
    </row>
    <row r="7" spans="1:23" ht="30" customHeight="1" x14ac:dyDescent="0.55000000000000004">
      <c r="A7" s="14" t="s">
        <v>27</v>
      </c>
      <c r="B7" s="14" t="s">
        <v>28</v>
      </c>
      <c r="C7" s="25" t="s">
        <v>29</v>
      </c>
      <c r="D7" s="25" t="s">
        <v>30</v>
      </c>
      <c r="E7" s="26" t="s">
        <v>31</v>
      </c>
      <c r="F7" s="25" t="s">
        <v>32</v>
      </c>
      <c r="G7" s="25"/>
      <c r="H7" s="27" t="s">
        <v>33</v>
      </c>
      <c r="I7" s="27"/>
      <c r="J7" s="26" t="s">
        <v>34</v>
      </c>
      <c r="K7" s="14">
        <v>2019</v>
      </c>
      <c r="L7" s="25" t="s">
        <v>25</v>
      </c>
      <c r="M7" s="14">
        <v>2020</v>
      </c>
      <c r="N7" s="29" t="s">
        <v>35</v>
      </c>
      <c r="O7" s="14">
        <v>5</v>
      </c>
      <c r="P7" s="14">
        <v>3</v>
      </c>
      <c r="Q7" s="14">
        <v>3</v>
      </c>
      <c r="R7" s="14">
        <v>3</v>
      </c>
      <c r="S7" s="14">
        <v>4</v>
      </c>
      <c r="T7" s="14">
        <v>5</v>
      </c>
      <c r="U7" s="14">
        <v>3</v>
      </c>
      <c r="V7" s="14">
        <v>3</v>
      </c>
      <c r="W7" s="15">
        <f t="shared" ref="W7:W17" si="0">SUM(O7:V7)</f>
        <v>29</v>
      </c>
    </row>
    <row r="8" spans="1:23" s="24" customFormat="1" ht="30" customHeight="1" x14ac:dyDescent="0.55000000000000004">
      <c r="A8" s="14" t="s">
        <v>18</v>
      </c>
      <c r="B8" s="14" t="s">
        <v>36</v>
      </c>
      <c r="C8" s="25" t="s">
        <v>37</v>
      </c>
      <c r="D8" s="26" t="s">
        <v>38</v>
      </c>
      <c r="E8" s="26" t="s">
        <v>39</v>
      </c>
      <c r="F8" s="25" t="s">
        <v>40</v>
      </c>
      <c r="G8" s="25"/>
      <c r="H8" s="27" t="s">
        <v>41</v>
      </c>
      <c r="I8" s="27"/>
      <c r="J8" s="26" t="s">
        <v>42</v>
      </c>
      <c r="K8" s="14">
        <v>2023</v>
      </c>
      <c r="L8" s="25" t="s">
        <v>43</v>
      </c>
      <c r="M8" s="14">
        <v>2023</v>
      </c>
      <c r="N8" s="29" t="s">
        <v>44</v>
      </c>
      <c r="O8" s="14">
        <v>4</v>
      </c>
      <c r="P8" s="14">
        <v>4</v>
      </c>
      <c r="Q8" s="14">
        <v>2</v>
      </c>
      <c r="R8" s="14">
        <v>2</v>
      </c>
      <c r="S8" s="14">
        <v>2</v>
      </c>
      <c r="T8" s="14">
        <v>2</v>
      </c>
      <c r="U8" s="14">
        <v>3</v>
      </c>
      <c r="V8" s="14">
        <v>3</v>
      </c>
      <c r="W8" s="15">
        <f t="shared" si="0"/>
        <v>22</v>
      </c>
    </row>
    <row r="9" spans="1:23" ht="30" customHeight="1" x14ac:dyDescent="0.55000000000000004">
      <c r="A9" s="14" t="s">
        <v>45</v>
      </c>
      <c r="B9" s="14" t="s">
        <v>46</v>
      </c>
      <c r="C9" s="25" t="s">
        <v>47</v>
      </c>
      <c r="D9" s="25" t="s">
        <v>48</v>
      </c>
      <c r="E9" s="26" t="s">
        <v>49</v>
      </c>
      <c r="F9" s="25" t="s">
        <v>50</v>
      </c>
      <c r="G9" s="25"/>
      <c r="H9" s="27" t="s">
        <v>51</v>
      </c>
      <c r="I9" s="27"/>
      <c r="J9" s="26" t="s">
        <v>42</v>
      </c>
      <c r="K9" s="14">
        <v>2021</v>
      </c>
      <c r="L9" s="25" t="s">
        <v>43</v>
      </c>
      <c r="M9" s="14">
        <v>2021</v>
      </c>
      <c r="N9" s="12" t="s">
        <v>44</v>
      </c>
      <c r="O9" s="14">
        <v>3</v>
      </c>
      <c r="P9" s="14">
        <v>3</v>
      </c>
      <c r="Q9" s="14">
        <v>2</v>
      </c>
      <c r="R9" s="14">
        <v>2</v>
      </c>
      <c r="S9" s="14">
        <v>2</v>
      </c>
      <c r="T9" s="14">
        <v>2</v>
      </c>
      <c r="U9" s="14">
        <v>3</v>
      </c>
      <c r="V9" s="14">
        <v>3</v>
      </c>
      <c r="W9" s="15">
        <f t="shared" si="0"/>
        <v>20</v>
      </c>
    </row>
    <row r="10" spans="1:23" ht="30" customHeight="1" x14ac:dyDescent="0.55000000000000004">
      <c r="A10" s="14" t="s">
        <v>52</v>
      </c>
      <c r="B10" s="14" t="s">
        <v>53</v>
      </c>
      <c r="C10" s="25" t="s">
        <v>54</v>
      </c>
      <c r="D10" s="25" t="s">
        <v>55</v>
      </c>
      <c r="E10" s="26" t="s">
        <v>56</v>
      </c>
      <c r="F10" s="25" t="s">
        <v>57</v>
      </c>
      <c r="G10" s="25"/>
      <c r="H10" s="27" t="s">
        <v>58</v>
      </c>
      <c r="I10" s="27"/>
      <c r="J10" s="26" t="s">
        <v>59</v>
      </c>
      <c r="K10" s="14">
        <v>2017</v>
      </c>
      <c r="L10" s="25" t="s">
        <v>43</v>
      </c>
      <c r="M10" s="14">
        <v>2017</v>
      </c>
      <c r="N10" s="29" t="s">
        <v>26</v>
      </c>
      <c r="O10" s="14">
        <v>1</v>
      </c>
      <c r="P10" s="14">
        <v>2</v>
      </c>
      <c r="Q10" s="14">
        <v>3</v>
      </c>
      <c r="R10" s="14">
        <v>2</v>
      </c>
      <c r="S10" s="14">
        <v>3</v>
      </c>
      <c r="T10" s="14">
        <v>3</v>
      </c>
      <c r="U10" s="14">
        <v>1</v>
      </c>
      <c r="V10" s="14">
        <v>3</v>
      </c>
      <c r="W10" s="15">
        <f t="shared" si="0"/>
        <v>18</v>
      </c>
    </row>
    <row r="11" spans="1:23" ht="30" customHeight="1" x14ac:dyDescent="0.55000000000000004">
      <c r="A11" s="14" t="s">
        <v>60</v>
      </c>
      <c r="B11" s="14" t="s">
        <v>61</v>
      </c>
      <c r="C11" s="25" t="s">
        <v>37</v>
      </c>
      <c r="D11" s="25" t="s">
        <v>62</v>
      </c>
      <c r="E11" s="26" t="s">
        <v>63</v>
      </c>
      <c r="F11" s="25" t="s">
        <v>64</v>
      </c>
      <c r="G11" s="25"/>
      <c r="H11" s="27" t="s">
        <v>65</v>
      </c>
      <c r="I11" s="27"/>
      <c r="J11" s="26" t="s">
        <v>42</v>
      </c>
      <c r="K11" s="14">
        <v>2020</v>
      </c>
      <c r="L11" s="25" t="s">
        <v>25</v>
      </c>
      <c r="M11" s="14">
        <v>2020</v>
      </c>
      <c r="N11" s="29" t="s">
        <v>44</v>
      </c>
      <c r="O11" s="14">
        <v>4</v>
      </c>
      <c r="P11" s="14">
        <v>4</v>
      </c>
      <c r="Q11" s="14">
        <v>2</v>
      </c>
      <c r="R11" s="14">
        <v>2</v>
      </c>
      <c r="S11" s="14">
        <v>3</v>
      </c>
      <c r="T11" s="14">
        <v>3</v>
      </c>
      <c r="U11" s="14">
        <v>4</v>
      </c>
      <c r="V11" s="14">
        <v>3</v>
      </c>
      <c r="W11" s="15">
        <f t="shared" si="0"/>
        <v>25</v>
      </c>
    </row>
    <row r="12" spans="1:23" ht="30" customHeight="1" x14ac:dyDescent="0.55000000000000004">
      <c r="A12" s="14" t="s">
        <v>66</v>
      </c>
      <c r="B12" s="14" t="s">
        <v>67</v>
      </c>
      <c r="C12" s="25" t="s">
        <v>68</v>
      </c>
      <c r="D12" s="25" t="s">
        <v>69</v>
      </c>
      <c r="E12" s="26" t="s">
        <v>70</v>
      </c>
      <c r="F12" s="25" t="s">
        <v>71</v>
      </c>
      <c r="G12" s="25"/>
      <c r="H12" s="27" t="s">
        <v>72</v>
      </c>
      <c r="I12" s="27"/>
      <c r="J12" s="26" t="s">
        <v>73</v>
      </c>
      <c r="K12" s="14">
        <v>2018</v>
      </c>
      <c r="L12" s="25" t="s">
        <v>25</v>
      </c>
      <c r="M12" s="14">
        <v>2019</v>
      </c>
      <c r="N12" s="29" t="s">
        <v>26</v>
      </c>
      <c r="O12" s="14">
        <v>3</v>
      </c>
      <c r="P12" s="14">
        <v>3</v>
      </c>
      <c r="Q12" s="14">
        <v>2</v>
      </c>
      <c r="R12" s="14">
        <v>2</v>
      </c>
      <c r="S12" s="14">
        <v>4</v>
      </c>
      <c r="T12" s="14">
        <v>3</v>
      </c>
      <c r="U12" s="14">
        <v>1</v>
      </c>
      <c r="V12" s="14">
        <v>3</v>
      </c>
      <c r="W12" s="15">
        <f t="shared" si="0"/>
        <v>21</v>
      </c>
    </row>
    <row r="13" spans="1:23" ht="30" customHeight="1" x14ac:dyDescent="0.55000000000000004">
      <c r="A13" s="14" t="s">
        <v>74</v>
      </c>
      <c r="B13" s="14" t="s">
        <v>75</v>
      </c>
      <c r="C13" s="25" t="s">
        <v>76</v>
      </c>
      <c r="D13" s="25" t="s">
        <v>77</v>
      </c>
      <c r="E13" s="26" t="s">
        <v>78</v>
      </c>
      <c r="F13" s="25" t="s">
        <v>79</v>
      </c>
      <c r="G13" s="25"/>
      <c r="H13" s="27" t="s">
        <v>80</v>
      </c>
      <c r="I13" s="27"/>
      <c r="J13" s="26" t="s">
        <v>81</v>
      </c>
      <c r="K13" s="14">
        <v>2022</v>
      </c>
      <c r="L13" s="25" t="s">
        <v>82</v>
      </c>
      <c r="M13" s="14">
        <v>2022</v>
      </c>
      <c r="N13" s="29" t="s">
        <v>44</v>
      </c>
      <c r="O13" s="14">
        <v>3</v>
      </c>
      <c r="P13" s="14">
        <v>3</v>
      </c>
      <c r="Q13" s="14">
        <v>2</v>
      </c>
      <c r="R13" s="14">
        <v>1</v>
      </c>
      <c r="S13" s="14">
        <v>3</v>
      </c>
      <c r="T13" s="14">
        <v>3</v>
      </c>
      <c r="U13" s="14">
        <v>2</v>
      </c>
      <c r="V13" s="14">
        <v>2</v>
      </c>
      <c r="W13" s="15">
        <f t="shared" si="0"/>
        <v>19</v>
      </c>
    </row>
    <row r="14" spans="1:23" s="24" customFormat="1" ht="30" customHeight="1" x14ac:dyDescent="0.55000000000000004">
      <c r="A14" s="14" t="s">
        <v>83</v>
      </c>
      <c r="B14" s="14" t="s">
        <v>84</v>
      </c>
      <c r="C14" s="25" t="s">
        <v>76</v>
      </c>
      <c r="D14" s="25" t="s">
        <v>85</v>
      </c>
      <c r="E14" s="26" t="s">
        <v>86</v>
      </c>
      <c r="F14" s="25" t="s">
        <v>87</v>
      </c>
      <c r="G14" s="25"/>
      <c r="H14" s="27" t="s">
        <v>88</v>
      </c>
      <c r="I14" s="27"/>
      <c r="J14" s="26" t="s">
        <v>89</v>
      </c>
      <c r="K14" s="14">
        <v>2021</v>
      </c>
      <c r="L14" s="25" t="s">
        <v>43</v>
      </c>
      <c r="M14" s="14">
        <v>2021</v>
      </c>
      <c r="N14" s="29" t="s">
        <v>26</v>
      </c>
      <c r="O14" s="14">
        <v>3</v>
      </c>
      <c r="P14" s="14">
        <v>3</v>
      </c>
      <c r="Q14" s="14">
        <v>3</v>
      </c>
      <c r="R14" s="14">
        <v>2</v>
      </c>
      <c r="S14" s="14">
        <v>2</v>
      </c>
      <c r="T14" s="14">
        <v>2</v>
      </c>
      <c r="U14" s="14">
        <v>3</v>
      </c>
      <c r="V14" s="14">
        <v>3</v>
      </c>
      <c r="W14" s="15">
        <f t="shared" si="0"/>
        <v>21</v>
      </c>
    </row>
    <row r="15" spans="1:23" ht="30" customHeight="1" x14ac:dyDescent="0.55000000000000004">
      <c r="A15" s="14" t="s">
        <v>90</v>
      </c>
      <c r="B15" s="14" t="s">
        <v>91</v>
      </c>
      <c r="C15" s="25" t="s">
        <v>29</v>
      </c>
      <c r="D15" s="25" t="s">
        <v>92</v>
      </c>
      <c r="E15" s="31" t="s">
        <v>93</v>
      </c>
      <c r="F15" s="25" t="s">
        <v>94</v>
      </c>
      <c r="G15" s="25"/>
      <c r="H15" s="27" t="s">
        <v>95</v>
      </c>
      <c r="I15" s="27"/>
      <c r="J15" s="26" t="s">
        <v>96</v>
      </c>
      <c r="K15" s="32">
        <v>2016</v>
      </c>
      <c r="L15" s="25" t="s">
        <v>43</v>
      </c>
      <c r="M15" s="14">
        <v>2018</v>
      </c>
      <c r="N15" s="29" t="s">
        <v>44</v>
      </c>
      <c r="O15" s="14">
        <v>4</v>
      </c>
      <c r="P15" s="14">
        <v>4</v>
      </c>
      <c r="Q15" s="14">
        <v>2</v>
      </c>
      <c r="R15" s="14">
        <v>2</v>
      </c>
      <c r="S15" s="14">
        <v>2</v>
      </c>
      <c r="T15" s="14">
        <v>2</v>
      </c>
      <c r="U15" s="14">
        <v>2</v>
      </c>
      <c r="V15" s="14">
        <v>2</v>
      </c>
      <c r="W15" s="15">
        <f t="shared" si="0"/>
        <v>20</v>
      </c>
    </row>
    <row r="16" spans="1:23" ht="30" customHeight="1" x14ac:dyDescent="0.55000000000000004">
      <c r="A16" s="14" t="s">
        <v>97</v>
      </c>
      <c r="B16" s="14" t="s">
        <v>98</v>
      </c>
      <c r="C16" s="25" t="s">
        <v>29</v>
      </c>
      <c r="D16" s="25" t="s">
        <v>99</v>
      </c>
      <c r="E16" s="26" t="s">
        <v>100</v>
      </c>
      <c r="F16" s="25" t="s">
        <v>101</v>
      </c>
      <c r="G16" s="25"/>
      <c r="H16" s="27" t="s">
        <v>102</v>
      </c>
      <c r="I16" s="27"/>
      <c r="J16" s="26" t="s">
        <v>103</v>
      </c>
      <c r="K16" s="14">
        <v>2002</v>
      </c>
      <c r="L16" s="25" t="s">
        <v>25</v>
      </c>
      <c r="M16" s="14">
        <v>2002</v>
      </c>
      <c r="N16" s="29" t="s">
        <v>104</v>
      </c>
      <c r="O16" s="14">
        <v>5</v>
      </c>
      <c r="P16" s="14">
        <v>5</v>
      </c>
      <c r="Q16" s="14">
        <v>5</v>
      </c>
      <c r="R16" s="14">
        <v>5</v>
      </c>
      <c r="S16" s="14">
        <v>5</v>
      </c>
      <c r="T16" s="14">
        <v>3</v>
      </c>
      <c r="U16" s="14">
        <v>0</v>
      </c>
      <c r="V16" s="14">
        <v>3</v>
      </c>
      <c r="W16" s="15">
        <f t="shared" si="0"/>
        <v>31</v>
      </c>
    </row>
    <row r="17" spans="1:23" ht="30" customHeight="1" x14ac:dyDescent="0.55000000000000004">
      <c r="A17" s="33" t="s">
        <v>105</v>
      </c>
      <c r="B17" s="14" t="s">
        <v>106</v>
      </c>
      <c r="C17" s="34" t="s">
        <v>19</v>
      </c>
      <c r="D17" s="35" t="s">
        <v>107</v>
      </c>
      <c r="E17" s="35" t="s">
        <v>108</v>
      </c>
      <c r="F17" s="34" t="s">
        <v>109</v>
      </c>
      <c r="G17" s="34"/>
      <c r="H17" s="36" t="s">
        <v>110</v>
      </c>
      <c r="I17" s="36"/>
      <c r="J17" s="35" t="s">
        <v>111</v>
      </c>
      <c r="K17" s="33">
        <v>2022</v>
      </c>
      <c r="L17" s="34" t="s">
        <v>112</v>
      </c>
      <c r="M17" s="33">
        <v>2022</v>
      </c>
      <c r="N17" s="37" t="s">
        <v>35</v>
      </c>
      <c r="O17" s="33">
        <v>3</v>
      </c>
      <c r="P17" s="33">
        <v>3</v>
      </c>
      <c r="Q17" s="33">
        <v>5</v>
      </c>
      <c r="R17" s="33">
        <v>5</v>
      </c>
      <c r="S17" s="33">
        <v>4</v>
      </c>
      <c r="T17" s="33">
        <v>4</v>
      </c>
      <c r="U17" s="33">
        <v>4</v>
      </c>
      <c r="V17" s="33">
        <v>3</v>
      </c>
      <c r="W17" s="38">
        <f t="shared" si="0"/>
        <v>31</v>
      </c>
    </row>
    <row r="18" spans="1:23" s="24" customFormat="1" ht="30" customHeight="1" x14ac:dyDescent="0.55000000000000004">
      <c r="A18" s="33" t="s">
        <v>113</v>
      </c>
      <c r="B18" s="14" t="s">
        <v>114</v>
      </c>
      <c r="C18" s="34" t="s">
        <v>115</v>
      </c>
      <c r="D18" s="35" t="s">
        <v>116</v>
      </c>
      <c r="E18" s="35" t="s">
        <v>117</v>
      </c>
      <c r="F18" s="34" t="s">
        <v>118</v>
      </c>
      <c r="G18" s="34"/>
      <c r="H18" s="36" t="s">
        <v>119</v>
      </c>
      <c r="I18" s="36"/>
      <c r="J18" s="35" t="s">
        <v>42</v>
      </c>
      <c r="K18" s="33">
        <v>2025</v>
      </c>
      <c r="L18" s="34" t="s">
        <v>43</v>
      </c>
      <c r="M18" s="33">
        <v>2025</v>
      </c>
      <c r="N18" s="39" t="s">
        <v>44</v>
      </c>
      <c r="O18" s="33"/>
      <c r="P18" s="33"/>
      <c r="Q18" s="33"/>
      <c r="R18" s="33"/>
      <c r="S18" s="33"/>
      <c r="T18" s="33"/>
      <c r="U18" s="33"/>
      <c r="V18" s="33"/>
      <c r="W18" s="38"/>
    </row>
    <row r="19" spans="1:23" s="24" customFormat="1" ht="30" customHeight="1" x14ac:dyDescent="0.55000000000000004">
      <c r="A19" s="14" t="s">
        <v>120</v>
      </c>
      <c r="B19" s="14" t="s">
        <v>121</v>
      </c>
      <c r="C19" s="25" t="s">
        <v>37</v>
      </c>
      <c r="D19" s="26" t="s">
        <v>122</v>
      </c>
      <c r="E19" s="26" t="s">
        <v>123</v>
      </c>
      <c r="F19" s="25" t="s">
        <v>124</v>
      </c>
      <c r="G19" s="25"/>
      <c r="H19" s="27" t="s">
        <v>125</v>
      </c>
      <c r="I19" s="27"/>
      <c r="J19" s="26" t="s">
        <v>126</v>
      </c>
      <c r="K19" s="14">
        <v>2013</v>
      </c>
      <c r="L19" s="25" t="s">
        <v>43</v>
      </c>
      <c r="M19" s="14">
        <v>2013</v>
      </c>
      <c r="N19" s="12" t="s">
        <v>35</v>
      </c>
      <c r="O19" s="14">
        <v>5</v>
      </c>
      <c r="P19" s="14">
        <v>5</v>
      </c>
      <c r="Q19" s="14">
        <v>3</v>
      </c>
      <c r="R19" s="14">
        <v>4</v>
      </c>
      <c r="S19" s="14">
        <v>4</v>
      </c>
      <c r="T19" s="14">
        <v>2</v>
      </c>
      <c r="U19" s="14">
        <v>2</v>
      </c>
      <c r="V19" s="14">
        <v>3</v>
      </c>
      <c r="W19" s="15">
        <f>SUM(O19:V19)</f>
        <v>28</v>
      </c>
    </row>
    <row r="20" spans="1:23" ht="30" customHeight="1" x14ac:dyDescent="0.55000000000000004">
      <c r="A20" s="14" t="s">
        <v>127</v>
      </c>
      <c r="B20" s="14" t="s">
        <v>128</v>
      </c>
      <c r="C20" s="25" t="s">
        <v>29</v>
      </c>
      <c r="D20" s="25" t="s">
        <v>129</v>
      </c>
      <c r="E20" s="26" t="s">
        <v>130</v>
      </c>
      <c r="F20" s="25" t="s">
        <v>131</v>
      </c>
      <c r="G20" s="25"/>
      <c r="H20" s="27" t="s">
        <v>132</v>
      </c>
      <c r="I20" s="27"/>
      <c r="J20" s="26" t="s">
        <v>133</v>
      </c>
      <c r="K20" s="14">
        <v>2020</v>
      </c>
      <c r="L20" s="25" t="s">
        <v>43</v>
      </c>
      <c r="M20" s="14">
        <v>2019</v>
      </c>
      <c r="N20" s="29" t="s">
        <v>26</v>
      </c>
      <c r="O20" s="14">
        <v>4</v>
      </c>
      <c r="P20" s="14">
        <v>4</v>
      </c>
      <c r="Q20" s="14">
        <v>4</v>
      </c>
      <c r="R20" s="14">
        <v>2</v>
      </c>
      <c r="S20" s="14">
        <v>5</v>
      </c>
      <c r="T20" s="14">
        <v>3</v>
      </c>
      <c r="U20" s="14">
        <v>4</v>
      </c>
      <c r="V20" s="14">
        <v>3</v>
      </c>
      <c r="W20" s="15">
        <f>SUM(O20:V20)</f>
        <v>29</v>
      </c>
    </row>
    <row r="21" spans="1:23" ht="30" customHeight="1" x14ac:dyDescent="0.55000000000000004">
      <c r="A21" s="14" t="s">
        <v>134</v>
      </c>
      <c r="B21" s="14" t="s">
        <v>135</v>
      </c>
      <c r="C21" s="25" t="s">
        <v>19</v>
      </c>
      <c r="D21" s="26" t="s">
        <v>136</v>
      </c>
      <c r="E21" s="26" t="s">
        <v>137</v>
      </c>
      <c r="F21" s="25" t="s">
        <v>138</v>
      </c>
      <c r="G21" s="25"/>
      <c r="H21" s="27" t="s">
        <v>139</v>
      </c>
      <c r="I21" s="27"/>
      <c r="J21" s="26" t="s">
        <v>140</v>
      </c>
      <c r="K21" s="14">
        <v>2018</v>
      </c>
      <c r="L21" s="25" t="s">
        <v>25</v>
      </c>
      <c r="M21" s="14">
        <v>2018</v>
      </c>
      <c r="N21" s="29" t="s">
        <v>35</v>
      </c>
      <c r="O21" s="14">
        <v>2</v>
      </c>
      <c r="P21" s="14">
        <v>2</v>
      </c>
      <c r="Q21" s="14">
        <v>3</v>
      </c>
      <c r="R21" s="14">
        <v>2</v>
      </c>
      <c r="S21" s="14">
        <v>3</v>
      </c>
      <c r="T21" s="14">
        <v>3</v>
      </c>
      <c r="U21" s="14">
        <v>4</v>
      </c>
      <c r="V21" s="14">
        <v>3</v>
      </c>
      <c r="W21" s="15">
        <f>SUM(O21:V21)</f>
        <v>22</v>
      </c>
    </row>
    <row r="22" spans="1:23" s="24" customFormat="1" ht="30" customHeight="1" x14ac:dyDescent="0.55000000000000004">
      <c r="A22" s="14" t="s">
        <v>141</v>
      </c>
      <c r="B22" s="14" t="s">
        <v>142</v>
      </c>
      <c r="C22" s="25" t="s">
        <v>143</v>
      </c>
      <c r="D22" s="25" t="s">
        <v>144</v>
      </c>
      <c r="E22" s="26" t="s">
        <v>145</v>
      </c>
      <c r="F22" s="25" t="s">
        <v>146</v>
      </c>
      <c r="G22" s="25"/>
      <c r="H22" s="27" t="s">
        <v>147</v>
      </c>
      <c r="I22" s="27"/>
      <c r="J22" s="26" t="s">
        <v>148</v>
      </c>
      <c r="K22" s="14">
        <v>2012</v>
      </c>
      <c r="L22" s="25" t="s">
        <v>25</v>
      </c>
      <c r="M22" s="14">
        <v>2015</v>
      </c>
      <c r="N22" s="29" t="s">
        <v>35</v>
      </c>
      <c r="O22" s="14">
        <v>5</v>
      </c>
      <c r="P22" s="14">
        <v>5</v>
      </c>
      <c r="Q22" s="14">
        <v>4</v>
      </c>
      <c r="R22" s="14">
        <v>4</v>
      </c>
      <c r="S22" s="14">
        <v>4</v>
      </c>
      <c r="T22" s="14">
        <v>4</v>
      </c>
      <c r="U22" s="14">
        <v>3</v>
      </c>
      <c r="V22" s="14">
        <v>3</v>
      </c>
      <c r="W22" s="15">
        <f>SUM(O22:V22)</f>
        <v>32</v>
      </c>
    </row>
    <row r="23" spans="1:23" s="24" customFormat="1" ht="30" customHeight="1" x14ac:dyDescent="0.55000000000000004">
      <c r="A23" s="14" t="s">
        <v>149</v>
      </c>
      <c r="B23" s="14" t="s">
        <v>150</v>
      </c>
      <c r="C23" s="25" t="s">
        <v>151</v>
      </c>
      <c r="D23" s="25" t="s">
        <v>152</v>
      </c>
      <c r="E23" s="26" t="s">
        <v>153</v>
      </c>
      <c r="F23" s="25" t="s">
        <v>154</v>
      </c>
      <c r="G23" s="25"/>
      <c r="H23" s="27" t="s">
        <v>155</v>
      </c>
      <c r="I23" s="27"/>
      <c r="J23" s="26" t="s">
        <v>156</v>
      </c>
      <c r="K23" s="14">
        <v>2013</v>
      </c>
      <c r="L23" s="25" t="s">
        <v>43</v>
      </c>
      <c r="M23" s="14">
        <v>2024</v>
      </c>
      <c r="N23" s="29" t="s">
        <v>26</v>
      </c>
      <c r="O23" s="14">
        <v>3</v>
      </c>
      <c r="P23" s="14">
        <v>3</v>
      </c>
      <c r="Q23" s="14">
        <v>2</v>
      </c>
      <c r="R23" s="14">
        <v>2</v>
      </c>
      <c r="S23" s="14">
        <v>3</v>
      </c>
      <c r="T23" s="14">
        <v>3</v>
      </c>
      <c r="U23" s="14">
        <v>1</v>
      </c>
      <c r="V23" s="14">
        <v>3</v>
      </c>
      <c r="W23" s="15">
        <f>SUM(O23:V23)</f>
        <v>20</v>
      </c>
    </row>
    <row r="24" spans="1:23" s="30" customFormat="1" ht="30" customHeight="1" x14ac:dyDescent="0.55000000000000004">
      <c r="A24" s="33" t="s">
        <v>157</v>
      </c>
      <c r="B24" s="14" t="s">
        <v>158</v>
      </c>
      <c r="C24" s="34" t="s">
        <v>68</v>
      </c>
      <c r="D24" s="35" t="s">
        <v>159</v>
      </c>
      <c r="E24" s="35" t="s">
        <v>160</v>
      </c>
      <c r="F24" s="34" t="s">
        <v>161</v>
      </c>
      <c r="G24" s="34"/>
      <c r="H24" s="36" t="s">
        <v>162</v>
      </c>
      <c r="I24" s="36"/>
      <c r="J24" s="35" t="s">
        <v>163</v>
      </c>
      <c r="K24" s="33"/>
      <c r="L24" s="34" t="s">
        <v>25</v>
      </c>
      <c r="M24" s="33"/>
      <c r="N24" s="37" t="s">
        <v>26</v>
      </c>
      <c r="O24" s="33"/>
      <c r="P24" s="33"/>
      <c r="Q24" s="33"/>
      <c r="R24" s="33"/>
      <c r="S24" s="33"/>
      <c r="T24" s="33"/>
      <c r="U24" s="33"/>
      <c r="V24" s="33"/>
      <c r="W24" s="38"/>
    </row>
    <row r="25" spans="1:23" s="30" customFormat="1" ht="30" customHeight="1" x14ac:dyDescent="0.55000000000000004">
      <c r="A25" s="33" t="s">
        <v>164</v>
      </c>
      <c r="B25" s="14" t="s">
        <v>165</v>
      </c>
      <c r="C25" s="34" t="s">
        <v>166</v>
      </c>
      <c r="D25" s="35" t="s">
        <v>167</v>
      </c>
      <c r="E25" s="35" t="s">
        <v>168</v>
      </c>
      <c r="F25" s="34" t="s">
        <v>169</v>
      </c>
      <c r="G25" s="34"/>
      <c r="H25" s="36" t="s">
        <v>170</v>
      </c>
      <c r="I25" s="36"/>
      <c r="J25" s="35" t="s">
        <v>171</v>
      </c>
      <c r="K25" s="33">
        <v>2024</v>
      </c>
      <c r="L25" s="34" t="s">
        <v>25</v>
      </c>
      <c r="M25" s="33">
        <v>2024</v>
      </c>
      <c r="N25" s="37" t="s">
        <v>44</v>
      </c>
      <c r="O25" s="33"/>
      <c r="P25" s="33"/>
      <c r="Q25" s="33"/>
      <c r="R25" s="33"/>
      <c r="S25" s="33"/>
      <c r="T25" s="33"/>
      <c r="U25" s="33"/>
      <c r="V25" s="33"/>
      <c r="W25" s="38"/>
    </row>
    <row r="26" spans="1:23" s="30" customFormat="1" ht="30" customHeight="1" x14ac:dyDescent="0.55000000000000004">
      <c r="A26" s="33" t="s">
        <v>172</v>
      </c>
      <c r="B26" s="14" t="s">
        <v>173</v>
      </c>
      <c r="C26" s="34" t="s">
        <v>166</v>
      </c>
      <c r="D26" s="35" t="s">
        <v>174</v>
      </c>
      <c r="E26" s="35" t="s">
        <v>175</v>
      </c>
      <c r="F26" s="34" t="s">
        <v>176</v>
      </c>
      <c r="G26" s="34"/>
      <c r="H26" s="36" t="s">
        <v>177</v>
      </c>
      <c r="I26" s="36"/>
      <c r="J26" s="35" t="s">
        <v>171</v>
      </c>
      <c r="K26" s="33">
        <v>2024</v>
      </c>
      <c r="L26" s="34" t="s">
        <v>43</v>
      </c>
      <c r="M26" s="33">
        <v>2024</v>
      </c>
      <c r="N26" s="37" t="s">
        <v>44</v>
      </c>
      <c r="O26" s="33"/>
      <c r="P26" s="33"/>
      <c r="Q26" s="33"/>
      <c r="R26" s="33"/>
      <c r="S26" s="33"/>
      <c r="T26" s="33"/>
      <c r="U26" s="33"/>
      <c r="V26" s="33"/>
      <c r="W26" s="38"/>
    </row>
    <row r="27" spans="1:23" ht="30" customHeight="1" x14ac:dyDescent="0.55000000000000004">
      <c r="A27" s="21"/>
      <c r="B27" s="21"/>
      <c r="C27" s="18"/>
      <c r="D27" s="19"/>
      <c r="E27" s="19"/>
      <c r="F27" s="18"/>
      <c r="G27" s="18"/>
      <c r="H27" s="40"/>
      <c r="I27" s="40"/>
      <c r="J27" s="19"/>
      <c r="K27" s="21"/>
      <c r="L27" s="18"/>
      <c r="M27" s="21"/>
      <c r="N27" s="41"/>
      <c r="O27" s="21"/>
      <c r="P27" s="21"/>
      <c r="Q27" s="21"/>
      <c r="R27" s="21"/>
      <c r="S27" s="21"/>
      <c r="T27" s="21"/>
      <c r="U27" s="21"/>
      <c r="V27" s="21"/>
      <c r="W27" s="23"/>
    </row>
    <row r="28" spans="1:23" ht="30" customHeight="1" x14ac:dyDescent="0.55000000000000004">
      <c r="A28" s="17" t="s">
        <v>178</v>
      </c>
      <c r="B28" s="17" t="s">
        <v>178</v>
      </c>
      <c r="C28" s="25"/>
      <c r="D28" s="25"/>
      <c r="E28" s="26"/>
      <c r="F28" s="25"/>
      <c r="G28" s="25"/>
      <c r="H28" s="28"/>
      <c r="I28" s="28"/>
      <c r="J28" s="26"/>
      <c r="K28" s="14"/>
      <c r="L28" s="25"/>
      <c r="M28" s="14"/>
      <c r="O28" s="14"/>
      <c r="P28" s="14"/>
      <c r="Q28" s="14"/>
      <c r="R28" s="14"/>
      <c r="S28" s="14"/>
      <c r="T28" s="14"/>
      <c r="U28" s="14"/>
      <c r="V28" s="14"/>
      <c r="W28" s="15"/>
    </row>
    <row r="29" spans="1:23" s="24" customFormat="1" ht="30" customHeight="1" x14ac:dyDescent="0.55000000000000004">
      <c r="A29" s="14" t="s">
        <v>179</v>
      </c>
      <c r="B29" s="14" t="s">
        <v>180</v>
      </c>
      <c r="C29" s="25" t="s">
        <v>181</v>
      </c>
      <c r="D29" s="25" t="s">
        <v>182</v>
      </c>
      <c r="E29" s="26" t="s">
        <v>183</v>
      </c>
      <c r="F29" s="25" t="s">
        <v>184</v>
      </c>
      <c r="G29" s="25"/>
      <c r="H29" s="27" t="s">
        <v>185</v>
      </c>
      <c r="I29" s="27"/>
      <c r="J29" s="26" t="s">
        <v>186</v>
      </c>
      <c r="K29" s="14">
        <v>2007</v>
      </c>
      <c r="L29" s="25" t="s">
        <v>43</v>
      </c>
      <c r="M29" s="14">
        <v>2007</v>
      </c>
      <c r="N29" s="29" t="s">
        <v>26</v>
      </c>
      <c r="O29" s="14">
        <v>4</v>
      </c>
      <c r="P29" s="14">
        <v>3</v>
      </c>
      <c r="Q29" s="14">
        <v>2</v>
      </c>
      <c r="R29" s="14">
        <v>2</v>
      </c>
      <c r="S29" s="14">
        <v>2</v>
      </c>
      <c r="T29" s="14">
        <v>3</v>
      </c>
      <c r="U29" s="14">
        <v>1</v>
      </c>
      <c r="V29" s="14">
        <v>3</v>
      </c>
      <c r="W29" s="15">
        <f t="shared" ref="W29:W36" si="1">SUM(O29:V29)</f>
        <v>20</v>
      </c>
    </row>
    <row r="30" spans="1:23" s="24" customFormat="1" ht="30" customHeight="1" x14ac:dyDescent="0.55000000000000004">
      <c r="A30" s="14" t="s">
        <v>187</v>
      </c>
      <c r="B30" s="14" t="s">
        <v>188</v>
      </c>
      <c r="C30" s="25" t="s">
        <v>189</v>
      </c>
      <c r="D30" s="25" t="s">
        <v>190</v>
      </c>
      <c r="E30" s="26" t="s">
        <v>191</v>
      </c>
      <c r="F30" s="25" t="s">
        <v>192</v>
      </c>
      <c r="G30" s="25"/>
      <c r="H30" s="27" t="s">
        <v>193</v>
      </c>
      <c r="I30" s="27"/>
      <c r="J30" s="26" t="s">
        <v>96</v>
      </c>
      <c r="K30" s="14">
        <v>2020</v>
      </c>
      <c r="L30" s="25" t="s">
        <v>43</v>
      </c>
      <c r="M30" s="14">
        <v>2020</v>
      </c>
      <c r="N30" s="29" t="s">
        <v>44</v>
      </c>
      <c r="O30" s="14">
        <v>4</v>
      </c>
      <c r="P30" s="14">
        <v>4</v>
      </c>
      <c r="Q30" s="14">
        <v>2</v>
      </c>
      <c r="R30" s="14">
        <v>2</v>
      </c>
      <c r="S30" s="14">
        <v>2</v>
      </c>
      <c r="T30" s="14">
        <v>2</v>
      </c>
      <c r="U30" s="14">
        <v>1</v>
      </c>
      <c r="V30" s="14">
        <v>2</v>
      </c>
      <c r="W30" s="15">
        <f t="shared" si="1"/>
        <v>19</v>
      </c>
    </row>
    <row r="31" spans="1:23" ht="30" customHeight="1" x14ac:dyDescent="0.55000000000000004">
      <c r="A31" s="14" t="s">
        <v>194</v>
      </c>
      <c r="B31" s="14" t="s">
        <v>195</v>
      </c>
      <c r="C31" s="25" t="s">
        <v>196</v>
      </c>
      <c r="D31" s="25" t="s">
        <v>197</v>
      </c>
      <c r="E31" s="26" t="s">
        <v>198</v>
      </c>
      <c r="F31" s="25" t="s">
        <v>199</v>
      </c>
      <c r="G31" s="25"/>
      <c r="H31" s="27" t="s">
        <v>200</v>
      </c>
      <c r="I31" s="27"/>
      <c r="J31" s="26" t="s">
        <v>96</v>
      </c>
      <c r="K31" s="14">
        <v>2018</v>
      </c>
      <c r="L31" s="25" t="s">
        <v>43</v>
      </c>
      <c r="M31" s="14">
        <v>2018</v>
      </c>
      <c r="N31" s="29" t="s">
        <v>44</v>
      </c>
      <c r="O31" s="14">
        <v>4</v>
      </c>
      <c r="P31" s="14">
        <v>4</v>
      </c>
      <c r="Q31" s="14">
        <v>2</v>
      </c>
      <c r="R31" s="14">
        <v>2</v>
      </c>
      <c r="S31" s="14">
        <v>2</v>
      </c>
      <c r="T31" s="14">
        <v>2</v>
      </c>
      <c r="U31" s="14">
        <v>1</v>
      </c>
      <c r="V31" s="14">
        <v>3</v>
      </c>
      <c r="W31" s="15">
        <f t="shared" si="1"/>
        <v>20</v>
      </c>
    </row>
    <row r="32" spans="1:23" s="24" customFormat="1" ht="30" customHeight="1" x14ac:dyDescent="0.55000000000000004">
      <c r="A32" s="14" t="s">
        <v>201</v>
      </c>
      <c r="B32" s="14" t="s">
        <v>202</v>
      </c>
      <c r="C32" s="25" t="s">
        <v>181</v>
      </c>
      <c r="D32" s="25" t="s">
        <v>203</v>
      </c>
      <c r="E32" s="26" t="s">
        <v>204</v>
      </c>
      <c r="F32" s="25" t="s">
        <v>205</v>
      </c>
      <c r="G32" s="25"/>
      <c r="H32" s="27" t="s">
        <v>206</v>
      </c>
      <c r="I32" s="27"/>
      <c r="J32" s="26" t="s">
        <v>103</v>
      </c>
      <c r="K32" s="14">
        <v>2007</v>
      </c>
      <c r="L32" s="25" t="s">
        <v>43</v>
      </c>
      <c r="M32" s="14">
        <v>2007</v>
      </c>
      <c r="N32" s="29" t="s">
        <v>104</v>
      </c>
      <c r="O32" s="14">
        <v>5</v>
      </c>
      <c r="P32" s="14">
        <v>5</v>
      </c>
      <c r="Q32" s="14">
        <v>5</v>
      </c>
      <c r="R32" s="14">
        <v>5</v>
      </c>
      <c r="S32" s="14">
        <v>5</v>
      </c>
      <c r="T32" s="14">
        <v>3</v>
      </c>
      <c r="U32" s="14">
        <v>0</v>
      </c>
      <c r="V32" s="14">
        <v>3</v>
      </c>
      <c r="W32" s="15">
        <f t="shared" si="1"/>
        <v>31</v>
      </c>
    </row>
    <row r="33" spans="1:23" s="24" customFormat="1" ht="30" customHeight="1" x14ac:dyDescent="0.55000000000000004">
      <c r="A33" s="14" t="s">
        <v>207</v>
      </c>
      <c r="B33" s="14" t="s">
        <v>208</v>
      </c>
      <c r="C33" s="25" t="s">
        <v>209</v>
      </c>
      <c r="D33" s="25" t="s">
        <v>210</v>
      </c>
      <c r="E33" s="26" t="s">
        <v>211</v>
      </c>
      <c r="F33" s="25" t="s">
        <v>212</v>
      </c>
      <c r="G33" s="25"/>
      <c r="H33" s="27" t="s">
        <v>213</v>
      </c>
      <c r="I33" s="27"/>
      <c r="J33" s="26" t="s">
        <v>96</v>
      </c>
      <c r="K33" s="14">
        <v>2014</v>
      </c>
      <c r="L33" s="25" t="s">
        <v>43</v>
      </c>
      <c r="M33" s="14">
        <v>2014</v>
      </c>
      <c r="N33" s="29" t="s">
        <v>44</v>
      </c>
      <c r="O33" s="14">
        <v>4</v>
      </c>
      <c r="P33" s="14">
        <v>4</v>
      </c>
      <c r="Q33" s="14">
        <v>2</v>
      </c>
      <c r="R33" s="14">
        <v>2</v>
      </c>
      <c r="S33" s="14">
        <v>2</v>
      </c>
      <c r="T33" s="14">
        <v>2</v>
      </c>
      <c r="U33" s="14">
        <v>2</v>
      </c>
      <c r="V33" s="14">
        <v>3</v>
      </c>
      <c r="W33" s="15">
        <f t="shared" si="1"/>
        <v>21</v>
      </c>
    </row>
    <row r="34" spans="1:23" ht="30" customHeight="1" x14ac:dyDescent="0.55000000000000004">
      <c r="A34" s="14" t="s">
        <v>214</v>
      </c>
      <c r="B34" s="14" t="s">
        <v>215</v>
      </c>
      <c r="C34" s="25" t="s">
        <v>181</v>
      </c>
      <c r="D34" s="25" t="s">
        <v>216</v>
      </c>
      <c r="E34" s="26" t="s">
        <v>217</v>
      </c>
      <c r="F34" s="25" t="s">
        <v>218</v>
      </c>
      <c r="G34" s="25"/>
      <c r="H34" s="27" t="s">
        <v>219</v>
      </c>
      <c r="I34" s="27"/>
      <c r="J34" s="26" t="s">
        <v>96</v>
      </c>
      <c r="K34" s="14">
        <v>2020</v>
      </c>
      <c r="L34" s="25" t="s">
        <v>43</v>
      </c>
      <c r="M34" s="14">
        <v>2020</v>
      </c>
      <c r="N34" s="12" t="s">
        <v>44</v>
      </c>
      <c r="O34" s="14"/>
      <c r="P34" s="14"/>
      <c r="Q34" s="14"/>
      <c r="R34" s="14"/>
      <c r="S34" s="14"/>
      <c r="T34" s="14"/>
      <c r="U34" s="14"/>
      <c r="V34" s="14"/>
      <c r="W34" s="15">
        <f t="shared" si="1"/>
        <v>0</v>
      </c>
    </row>
    <row r="35" spans="1:23" ht="30" customHeight="1" x14ac:dyDescent="0.55000000000000004">
      <c r="A35" s="14" t="s">
        <v>220</v>
      </c>
      <c r="B35" s="14" t="s">
        <v>221</v>
      </c>
      <c r="C35" s="25" t="s">
        <v>209</v>
      </c>
      <c r="D35" s="25" t="s">
        <v>222</v>
      </c>
      <c r="E35" s="26" t="s">
        <v>223</v>
      </c>
      <c r="F35" s="25" t="s">
        <v>224</v>
      </c>
      <c r="G35" s="25"/>
      <c r="H35" s="27" t="s">
        <v>225</v>
      </c>
      <c r="I35" s="27"/>
      <c r="J35" s="26" t="s">
        <v>226</v>
      </c>
      <c r="K35" s="14">
        <v>2018</v>
      </c>
      <c r="L35" s="25" t="s">
        <v>43</v>
      </c>
      <c r="M35" s="14">
        <v>2018</v>
      </c>
      <c r="N35" s="29" t="s">
        <v>26</v>
      </c>
      <c r="O35" s="14">
        <v>4</v>
      </c>
      <c r="P35" s="14">
        <v>4</v>
      </c>
      <c r="Q35" s="14">
        <v>3</v>
      </c>
      <c r="R35" s="14">
        <v>2</v>
      </c>
      <c r="S35" s="14">
        <v>3</v>
      </c>
      <c r="T35" s="14">
        <v>3</v>
      </c>
      <c r="U35" s="14">
        <v>1</v>
      </c>
      <c r="V35" s="14">
        <v>3</v>
      </c>
      <c r="W35" s="15">
        <f t="shared" si="1"/>
        <v>23</v>
      </c>
    </row>
    <row r="36" spans="1:23" s="24" customFormat="1" ht="30" customHeight="1" x14ac:dyDescent="0.55000000000000004">
      <c r="A36" s="21" t="s">
        <v>227</v>
      </c>
      <c r="B36" s="14" t="s">
        <v>228</v>
      </c>
      <c r="C36" s="18" t="s">
        <v>229</v>
      </c>
      <c r="D36" s="18" t="s">
        <v>230</v>
      </c>
      <c r="E36" s="19" t="s">
        <v>231</v>
      </c>
      <c r="F36" s="18" t="s">
        <v>232</v>
      </c>
      <c r="G36" s="18"/>
      <c r="H36" s="40" t="s">
        <v>233</v>
      </c>
      <c r="I36" s="40"/>
      <c r="J36" s="19" t="s">
        <v>103</v>
      </c>
      <c r="K36" s="21">
        <v>1992</v>
      </c>
      <c r="L36" s="18" t="s">
        <v>43</v>
      </c>
      <c r="M36" s="21">
        <v>2021</v>
      </c>
      <c r="N36" s="22" t="s">
        <v>104</v>
      </c>
      <c r="O36" s="21"/>
      <c r="P36" s="21"/>
      <c r="Q36" s="21"/>
      <c r="R36" s="21"/>
      <c r="S36" s="21"/>
      <c r="T36" s="21"/>
      <c r="U36" s="21"/>
      <c r="V36" s="21"/>
      <c r="W36" s="23">
        <f t="shared" si="1"/>
        <v>0</v>
      </c>
    </row>
    <row r="42" spans="1:23" ht="30" customHeight="1" x14ac:dyDescent="0.55000000000000004">
      <c r="A42" s="14"/>
      <c r="B42" s="14"/>
      <c r="C42" s="25" t="s">
        <v>68</v>
      </c>
      <c r="D42" s="26" t="s">
        <v>234</v>
      </c>
      <c r="E42" s="26" t="s">
        <v>235</v>
      </c>
      <c r="F42" s="25" t="s">
        <v>236</v>
      </c>
      <c r="G42" s="25"/>
      <c r="H42" s="27" t="s">
        <v>237</v>
      </c>
      <c r="I42" s="27"/>
      <c r="J42" s="26" t="s">
        <v>103</v>
      </c>
      <c r="K42" s="14">
        <v>2017</v>
      </c>
      <c r="L42" s="25" t="s">
        <v>25</v>
      </c>
      <c r="M42" s="14">
        <v>2017</v>
      </c>
      <c r="N42" s="29"/>
      <c r="O42" s="14"/>
      <c r="P42" s="14"/>
      <c r="Q42" s="14"/>
      <c r="R42" s="14"/>
      <c r="S42" s="14"/>
      <c r="T42" s="14"/>
      <c r="U42" s="14"/>
      <c r="V42" s="14"/>
      <c r="W42" s="15"/>
    </row>
    <row r="43" spans="1:23" ht="30" customHeight="1" x14ac:dyDescent="0.55000000000000004">
      <c r="A43" s="21"/>
      <c r="B43" s="21"/>
      <c r="C43" s="18" t="s">
        <v>37</v>
      </c>
      <c r="D43" s="19" t="s">
        <v>238</v>
      </c>
      <c r="E43" s="19" t="s">
        <v>239</v>
      </c>
      <c r="F43" s="18" t="s">
        <v>240</v>
      </c>
      <c r="G43" s="18"/>
      <c r="H43" s="40" t="s">
        <v>241</v>
      </c>
      <c r="I43" s="40"/>
      <c r="J43" s="19" t="s">
        <v>42</v>
      </c>
      <c r="K43" s="21">
        <v>2014</v>
      </c>
      <c r="L43" s="18" t="s">
        <v>25</v>
      </c>
      <c r="M43" s="21"/>
      <c r="N43" s="41"/>
      <c r="O43" s="21"/>
      <c r="P43" s="21"/>
      <c r="Q43" s="21"/>
      <c r="R43" s="21"/>
      <c r="S43" s="21"/>
      <c r="T43" s="21"/>
      <c r="U43" s="21"/>
      <c r="V43" s="21"/>
      <c r="W43" s="23"/>
    </row>
    <row r="44" spans="1:23" s="24" customFormat="1" ht="30" customHeight="1" x14ac:dyDescent="0.55000000000000004">
      <c r="A44" s="21"/>
      <c r="B44" s="21"/>
      <c r="C44" s="18" t="s">
        <v>242</v>
      </c>
      <c r="D44" s="19" t="s">
        <v>243</v>
      </c>
      <c r="E44" s="19" t="s">
        <v>244</v>
      </c>
      <c r="F44" s="18"/>
      <c r="G44" s="18"/>
      <c r="H44" s="40" t="s">
        <v>245</v>
      </c>
      <c r="I44" s="40"/>
      <c r="J44" s="19" t="s">
        <v>171</v>
      </c>
      <c r="K44" s="21"/>
      <c r="L44" s="18"/>
      <c r="M44" s="21"/>
      <c r="N44" s="41"/>
      <c r="O44" s="21"/>
      <c r="P44" s="21"/>
      <c r="Q44" s="21"/>
      <c r="R44" s="21"/>
      <c r="S44" s="21"/>
      <c r="T44" s="21"/>
      <c r="U44" s="21"/>
      <c r="V44" s="21"/>
      <c r="W44" s="23"/>
    </row>
    <row r="45" spans="1:23" s="24" customFormat="1" ht="30" customHeight="1" x14ac:dyDescent="0.55000000000000004">
      <c r="A45" s="21"/>
      <c r="B45" s="21"/>
      <c r="C45" s="18" t="s">
        <v>151</v>
      </c>
      <c r="D45" s="18" t="s">
        <v>246</v>
      </c>
      <c r="E45" s="19" t="s">
        <v>247</v>
      </c>
      <c r="F45" s="18" t="s">
        <v>248</v>
      </c>
      <c r="G45" s="18"/>
      <c r="H45" s="40" t="s">
        <v>249</v>
      </c>
      <c r="I45" s="40"/>
      <c r="J45" s="19" t="s">
        <v>250</v>
      </c>
      <c r="K45" s="21">
        <v>2021</v>
      </c>
      <c r="L45" s="18" t="s">
        <v>43</v>
      </c>
      <c r="M45" s="21">
        <v>2021</v>
      </c>
      <c r="N45" s="41" t="s">
        <v>251</v>
      </c>
      <c r="O45" s="21">
        <v>2</v>
      </c>
      <c r="P45" s="21">
        <v>2</v>
      </c>
      <c r="Q45" s="21">
        <v>2</v>
      </c>
      <c r="R45" s="21">
        <v>2</v>
      </c>
      <c r="S45" s="21">
        <v>3</v>
      </c>
      <c r="T45" s="21">
        <v>3</v>
      </c>
      <c r="U45" s="21">
        <v>1</v>
      </c>
      <c r="V45" s="21">
        <v>3</v>
      </c>
      <c r="W45" s="23">
        <f t="shared" ref="W45:W54" si="2">SUM(O45:V45)</f>
        <v>18</v>
      </c>
    </row>
    <row r="46" spans="1:23" s="30" customFormat="1" ht="30" customHeight="1" x14ac:dyDescent="0.55000000000000004">
      <c r="A46" s="21"/>
      <c r="B46" s="21"/>
      <c r="C46" s="18" t="s">
        <v>68</v>
      </c>
      <c r="D46" s="18" t="s">
        <v>252</v>
      </c>
      <c r="E46" s="19" t="s">
        <v>253</v>
      </c>
      <c r="F46" s="18" t="s">
        <v>254</v>
      </c>
      <c r="G46" s="18"/>
      <c r="H46" s="20"/>
      <c r="I46" s="20"/>
      <c r="J46" s="19" t="s">
        <v>255</v>
      </c>
      <c r="K46" s="21">
        <v>2023</v>
      </c>
      <c r="L46" s="18" t="s">
        <v>43</v>
      </c>
      <c r="M46" s="21">
        <v>2023</v>
      </c>
      <c r="N46" s="41" t="s">
        <v>251</v>
      </c>
      <c r="O46" s="21">
        <v>3</v>
      </c>
      <c r="P46" s="21">
        <v>2</v>
      </c>
      <c r="Q46" s="21">
        <v>3</v>
      </c>
      <c r="R46" s="21">
        <v>3</v>
      </c>
      <c r="S46" s="21">
        <v>5</v>
      </c>
      <c r="T46" s="21">
        <v>5</v>
      </c>
      <c r="U46" s="21">
        <v>1</v>
      </c>
      <c r="V46" s="21">
        <v>3</v>
      </c>
      <c r="W46" s="23">
        <f t="shared" si="2"/>
        <v>25</v>
      </c>
    </row>
    <row r="47" spans="1:23" s="24" customFormat="1" ht="30" customHeight="1" x14ac:dyDescent="0.55000000000000004">
      <c r="A47" s="21"/>
      <c r="B47" s="21"/>
      <c r="C47" s="18" t="s">
        <v>68</v>
      </c>
      <c r="D47" s="18" t="s">
        <v>256</v>
      </c>
      <c r="E47" s="19" t="s">
        <v>257</v>
      </c>
      <c r="F47" s="18" t="s">
        <v>258</v>
      </c>
      <c r="G47" s="18"/>
      <c r="H47" s="40" t="s">
        <v>259</v>
      </c>
      <c r="I47" s="40"/>
      <c r="J47" s="19" t="s">
        <v>255</v>
      </c>
      <c r="K47" s="21">
        <v>2023</v>
      </c>
      <c r="L47" s="18" t="s">
        <v>43</v>
      </c>
      <c r="M47" s="21">
        <v>2023</v>
      </c>
      <c r="N47" s="41" t="s">
        <v>251</v>
      </c>
      <c r="O47" s="21">
        <v>2</v>
      </c>
      <c r="P47" s="21">
        <v>2</v>
      </c>
      <c r="Q47" s="21">
        <v>2</v>
      </c>
      <c r="R47" s="21">
        <v>2</v>
      </c>
      <c r="S47" s="21">
        <v>3</v>
      </c>
      <c r="T47" s="21">
        <v>3</v>
      </c>
      <c r="U47" s="21">
        <v>1</v>
      </c>
      <c r="V47" s="21">
        <v>3</v>
      </c>
      <c r="W47" s="23">
        <f t="shared" si="2"/>
        <v>18</v>
      </c>
    </row>
    <row r="48" spans="1:23" s="30" customFormat="1" ht="30" customHeight="1" x14ac:dyDescent="0.55000000000000004">
      <c r="A48" s="21"/>
      <c r="B48" s="21"/>
      <c r="C48" s="18" t="s">
        <v>260</v>
      </c>
      <c r="D48" s="18" t="s">
        <v>261</v>
      </c>
      <c r="E48" s="19" t="s">
        <v>262</v>
      </c>
      <c r="F48" s="18" t="s">
        <v>263</v>
      </c>
      <c r="G48" s="18"/>
      <c r="H48" s="40" t="s">
        <v>264</v>
      </c>
      <c r="I48" s="40"/>
      <c r="J48" s="19" t="s">
        <v>265</v>
      </c>
      <c r="K48" s="21">
        <v>2024</v>
      </c>
      <c r="L48" s="18" t="s">
        <v>43</v>
      </c>
      <c r="M48" s="21">
        <v>2024</v>
      </c>
      <c r="N48" s="41" t="s">
        <v>104</v>
      </c>
      <c r="O48" s="21">
        <v>3</v>
      </c>
      <c r="P48" s="21">
        <v>3</v>
      </c>
      <c r="Q48" s="21">
        <v>2</v>
      </c>
      <c r="R48" s="21">
        <v>1</v>
      </c>
      <c r="S48" s="21">
        <v>2</v>
      </c>
      <c r="T48" s="21">
        <v>2</v>
      </c>
      <c r="U48" s="21">
        <v>0</v>
      </c>
      <c r="V48" s="21">
        <v>2</v>
      </c>
      <c r="W48" s="23">
        <f t="shared" si="2"/>
        <v>15</v>
      </c>
    </row>
    <row r="49" spans="1:23" s="24" customFormat="1" ht="30" customHeight="1" x14ac:dyDescent="0.55000000000000004">
      <c r="A49" s="21"/>
      <c r="B49" s="21"/>
      <c r="C49" s="18" t="s">
        <v>266</v>
      </c>
      <c r="D49" s="18" t="s">
        <v>267</v>
      </c>
      <c r="E49" s="19" t="s">
        <v>268</v>
      </c>
      <c r="F49" s="18" t="s">
        <v>269</v>
      </c>
      <c r="G49" s="18"/>
      <c r="H49" s="40" t="s">
        <v>270</v>
      </c>
      <c r="I49" s="40"/>
      <c r="J49" s="19" t="s">
        <v>271</v>
      </c>
      <c r="K49" s="21">
        <v>2000</v>
      </c>
      <c r="L49" s="18" t="s">
        <v>82</v>
      </c>
      <c r="M49" s="21">
        <v>2000</v>
      </c>
      <c r="N49" s="41" t="s">
        <v>104</v>
      </c>
      <c r="O49" s="21">
        <v>4</v>
      </c>
      <c r="P49" s="21">
        <v>5</v>
      </c>
      <c r="Q49" s="21">
        <v>3</v>
      </c>
      <c r="R49" s="21">
        <v>2</v>
      </c>
      <c r="S49" s="21">
        <v>2</v>
      </c>
      <c r="T49" s="21">
        <v>2</v>
      </c>
      <c r="U49" s="21">
        <v>0</v>
      </c>
      <c r="V49" s="21">
        <v>2</v>
      </c>
      <c r="W49" s="23">
        <f t="shared" si="2"/>
        <v>20</v>
      </c>
    </row>
    <row r="50" spans="1:23" s="24" customFormat="1" ht="30" customHeight="1" x14ac:dyDescent="0.55000000000000004">
      <c r="A50" s="21"/>
      <c r="B50" s="21"/>
      <c r="C50" s="18" t="s">
        <v>47</v>
      </c>
      <c r="D50" s="19" t="s">
        <v>272</v>
      </c>
      <c r="E50" s="19" t="s">
        <v>273</v>
      </c>
      <c r="F50" s="18" t="s">
        <v>274</v>
      </c>
      <c r="G50" s="18"/>
      <c r="H50" s="40" t="s">
        <v>275</v>
      </c>
      <c r="I50" s="40"/>
      <c r="J50" s="19" t="s">
        <v>42</v>
      </c>
      <c r="K50" s="21">
        <v>2022</v>
      </c>
      <c r="L50" s="18" t="s">
        <v>43</v>
      </c>
      <c r="M50" s="21">
        <v>2022</v>
      </c>
      <c r="N50" s="22" t="s">
        <v>44</v>
      </c>
      <c r="O50" s="21">
        <v>3</v>
      </c>
      <c r="P50" s="21">
        <v>3</v>
      </c>
      <c r="Q50" s="21">
        <v>2</v>
      </c>
      <c r="R50" s="21">
        <v>2</v>
      </c>
      <c r="S50" s="21">
        <v>2</v>
      </c>
      <c r="T50" s="21">
        <v>2</v>
      </c>
      <c r="U50" s="21">
        <v>3</v>
      </c>
      <c r="V50" s="21">
        <v>3</v>
      </c>
      <c r="W50" s="23">
        <f t="shared" si="2"/>
        <v>20</v>
      </c>
    </row>
    <row r="51" spans="1:23" ht="30" customHeight="1" x14ac:dyDescent="0.55000000000000004">
      <c r="A51" s="21"/>
      <c r="B51" s="21"/>
      <c r="C51" s="18" t="s">
        <v>47</v>
      </c>
      <c r="D51" s="18" t="s">
        <v>276</v>
      </c>
      <c r="E51" s="19" t="s">
        <v>277</v>
      </c>
      <c r="F51" s="18" t="s">
        <v>278</v>
      </c>
      <c r="G51" s="18"/>
      <c r="H51" s="40"/>
      <c r="I51" s="40"/>
      <c r="J51" s="19" t="s">
        <v>279</v>
      </c>
      <c r="K51" s="21">
        <v>2020</v>
      </c>
      <c r="L51" s="18" t="s">
        <v>280</v>
      </c>
      <c r="M51" s="21">
        <v>2020</v>
      </c>
      <c r="N51" s="41" t="s">
        <v>35</v>
      </c>
      <c r="O51" s="21">
        <v>1</v>
      </c>
      <c r="P51" s="21">
        <v>2</v>
      </c>
      <c r="Q51" s="21">
        <v>4</v>
      </c>
      <c r="R51" s="21">
        <v>4</v>
      </c>
      <c r="S51" s="21">
        <v>4</v>
      </c>
      <c r="T51" s="21">
        <v>3</v>
      </c>
      <c r="U51" s="21">
        <v>2</v>
      </c>
      <c r="V51" s="21">
        <v>3</v>
      </c>
      <c r="W51" s="23">
        <f t="shared" si="2"/>
        <v>23</v>
      </c>
    </row>
    <row r="52" spans="1:23" ht="30" customHeight="1" x14ac:dyDescent="0.55000000000000004">
      <c r="A52" s="21"/>
      <c r="B52" s="21"/>
      <c r="C52" s="18" t="s">
        <v>281</v>
      </c>
      <c r="D52" s="18" t="s">
        <v>282</v>
      </c>
      <c r="E52" s="19" t="s">
        <v>283</v>
      </c>
      <c r="F52" s="18" t="s">
        <v>284</v>
      </c>
      <c r="G52" s="18"/>
      <c r="H52" s="40" t="s">
        <v>285</v>
      </c>
      <c r="I52" s="40"/>
      <c r="J52" s="19" t="s">
        <v>286</v>
      </c>
      <c r="K52" s="21">
        <v>2004</v>
      </c>
      <c r="L52" s="18" t="s">
        <v>43</v>
      </c>
      <c r="M52" s="21">
        <v>2004</v>
      </c>
      <c r="N52" s="41" t="s">
        <v>251</v>
      </c>
      <c r="O52" s="21">
        <v>4</v>
      </c>
      <c r="P52" s="21">
        <v>3</v>
      </c>
      <c r="Q52" s="21">
        <v>3</v>
      </c>
      <c r="R52" s="21">
        <v>3</v>
      </c>
      <c r="S52" s="21">
        <v>3</v>
      </c>
      <c r="T52" s="21">
        <v>3</v>
      </c>
      <c r="U52" s="21">
        <v>0</v>
      </c>
      <c r="V52" s="21">
        <v>3</v>
      </c>
      <c r="W52" s="23">
        <f t="shared" si="2"/>
        <v>22</v>
      </c>
    </row>
    <row r="53" spans="1:23" ht="30" customHeight="1" x14ac:dyDescent="0.55000000000000004">
      <c r="A53" s="21"/>
      <c r="B53" s="21"/>
      <c r="C53" s="18" t="s">
        <v>54</v>
      </c>
      <c r="D53" s="18" t="s">
        <v>287</v>
      </c>
      <c r="E53" s="19" t="s">
        <v>288</v>
      </c>
      <c r="F53" s="18" t="s">
        <v>289</v>
      </c>
      <c r="G53" s="18"/>
      <c r="H53" s="20"/>
      <c r="I53" s="20"/>
      <c r="J53" s="19" t="s">
        <v>290</v>
      </c>
      <c r="K53" s="21">
        <v>2021</v>
      </c>
      <c r="L53" s="18" t="s">
        <v>25</v>
      </c>
      <c r="M53" s="21">
        <v>2021</v>
      </c>
      <c r="N53" s="41" t="s">
        <v>251</v>
      </c>
      <c r="O53" s="21">
        <v>4</v>
      </c>
      <c r="P53" s="21">
        <v>4</v>
      </c>
      <c r="Q53" s="21">
        <v>2</v>
      </c>
      <c r="R53" s="21">
        <v>1</v>
      </c>
      <c r="S53" s="21">
        <v>3</v>
      </c>
      <c r="T53" s="21">
        <v>1</v>
      </c>
      <c r="U53" s="21">
        <v>1</v>
      </c>
      <c r="V53" s="21">
        <v>3</v>
      </c>
      <c r="W53" s="23">
        <f t="shared" si="2"/>
        <v>19</v>
      </c>
    </row>
    <row r="54" spans="1:23" ht="30" customHeight="1" x14ac:dyDescent="0.55000000000000004">
      <c r="A54" s="21"/>
      <c r="B54" s="21"/>
      <c r="C54" s="18" t="s">
        <v>19</v>
      </c>
      <c r="D54" s="19" t="s">
        <v>291</v>
      </c>
      <c r="E54" s="19" t="s">
        <v>292</v>
      </c>
      <c r="F54" s="18" t="s">
        <v>293</v>
      </c>
      <c r="G54" s="18"/>
      <c r="H54" s="20"/>
      <c r="I54" s="20"/>
      <c r="J54" s="19" t="s">
        <v>294</v>
      </c>
      <c r="K54" s="21">
        <v>2023</v>
      </c>
      <c r="L54" s="18" t="s">
        <v>112</v>
      </c>
      <c r="M54" s="21">
        <v>2023</v>
      </c>
      <c r="N54" s="41" t="s">
        <v>35</v>
      </c>
      <c r="O54" s="21">
        <v>2</v>
      </c>
      <c r="P54" s="21">
        <v>2</v>
      </c>
      <c r="Q54" s="21">
        <v>3</v>
      </c>
      <c r="R54" s="21">
        <v>2</v>
      </c>
      <c r="S54" s="21">
        <v>3</v>
      </c>
      <c r="T54" s="21">
        <v>3</v>
      </c>
      <c r="U54" s="21">
        <v>4</v>
      </c>
      <c r="V54" s="21">
        <v>0</v>
      </c>
      <c r="W54" s="23">
        <f t="shared" si="2"/>
        <v>19</v>
      </c>
    </row>
    <row r="57" spans="1:23" s="24" customFormat="1" ht="30" customHeight="1" x14ac:dyDescent="0.55000000000000004">
      <c r="A57" s="21"/>
      <c r="B57" s="21"/>
      <c r="C57" s="18" t="s">
        <v>209</v>
      </c>
      <c r="D57" s="18" t="s">
        <v>295</v>
      </c>
      <c r="E57" s="19" t="s">
        <v>296</v>
      </c>
      <c r="F57" s="18" t="s">
        <v>297</v>
      </c>
      <c r="G57" s="18"/>
      <c r="H57" s="40" t="s">
        <v>298</v>
      </c>
      <c r="I57" s="40"/>
      <c r="J57" s="19" t="s">
        <v>255</v>
      </c>
      <c r="K57" s="21">
        <v>2023</v>
      </c>
      <c r="L57" s="18" t="s">
        <v>43</v>
      </c>
      <c r="M57" s="21">
        <v>2023</v>
      </c>
      <c r="N57" s="41" t="s">
        <v>251</v>
      </c>
      <c r="O57" s="21">
        <v>2</v>
      </c>
      <c r="P57" s="21">
        <v>2</v>
      </c>
      <c r="Q57" s="21">
        <v>2</v>
      </c>
      <c r="R57" s="21">
        <v>2</v>
      </c>
      <c r="S57" s="21">
        <v>3</v>
      </c>
      <c r="T57" s="21">
        <v>3</v>
      </c>
      <c r="U57" s="21">
        <v>1</v>
      </c>
      <c r="V57" s="21">
        <v>3</v>
      </c>
      <c r="W57" s="23">
        <f t="shared" ref="W57:W64" si="3">SUM(O57:V57)</f>
        <v>18</v>
      </c>
    </row>
    <row r="58" spans="1:23" ht="30" customHeight="1" x14ac:dyDescent="0.55000000000000004">
      <c r="A58" s="21"/>
      <c r="B58" s="21"/>
      <c r="C58" s="18" t="s">
        <v>299</v>
      </c>
      <c r="D58" s="18" t="s">
        <v>300</v>
      </c>
      <c r="E58" s="42" t="s">
        <v>301</v>
      </c>
      <c r="F58" s="18" t="s">
        <v>302</v>
      </c>
      <c r="G58" s="18"/>
      <c r="H58" s="40" t="s">
        <v>303</v>
      </c>
      <c r="I58" s="40"/>
      <c r="J58" s="19" t="s">
        <v>304</v>
      </c>
      <c r="K58" s="21">
        <v>2008</v>
      </c>
      <c r="L58" s="18" t="s">
        <v>43</v>
      </c>
      <c r="M58" s="21">
        <v>2008</v>
      </c>
      <c r="N58" s="41" t="s">
        <v>251</v>
      </c>
      <c r="O58" s="21">
        <v>2</v>
      </c>
      <c r="P58" s="21">
        <v>2</v>
      </c>
      <c r="Q58" s="21">
        <v>2</v>
      </c>
      <c r="R58" s="21">
        <v>2</v>
      </c>
      <c r="S58" s="21">
        <v>3</v>
      </c>
      <c r="T58" s="21">
        <v>3</v>
      </c>
      <c r="U58" s="21">
        <v>1</v>
      </c>
      <c r="V58" s="21">
        <v>3</v>
      </c>
      <c r="W58" s="23">
        <f t="shared" si="3"/>
        <v>18</v>
      </c>
    </row>
    <row r="59" spans="1:23" ht="30" customHeight="1" x14ac:dyDescent="0.55000000000000004">
      <c r="A59" s="21"/>
      <c r="B59" s="21"/>
      <c r="C59" s="18" t="s">
        <v>181</v>
      </c>
      <c r="D59" s="18" t="s">
        <v>305</v>
      </c>
      <c r="E59" s="19" t="s">
        <v>306</v>
      </c>
      <c r="F59" s="18" t="s">
        <v>307</v>
      </c>
      <c r="G59" s="18"/>
      <c r="H59" s="40" t="s">
        <v>308</v>
      </c>
      <c r="I59" s="40"/>
      <c r="J59" s="19" t="s">
        <v>103</v>
      </c>
      <c r="K59" s="21">
        <v>2024</v>
      </c>
      <c r="L59" s="18" t="s">
        <v>43</v>
      </c>
      <c r="M59" s="21">
        <v>2024</v>
      </c>
      <c r="N59" s="41" t="s">
        <v>104</v>
      </c>
      <c r="O59" s="21">
        <v>5</v>
      </c>
      <c r="P59" s="21">
        <v>5</v>
      </c>
      <c r="Q59" s="21">
        <v>2</v>
      </c>
      <c r="R59" s="21">
        <v>2</v>
      </c>
      <c r="S59" s="21">
        <v>5</v>
      </c>
      <c r="T59" s="21">
        <v>3</v>
      </c>
      <c r="U59" s="21">
        <v>0</v>
      </c>
      <c r="V59" s="21">
        <v>2</v>
      </c>
      <c r="W59" s="23">
        <f t="shared" si="3"/>
        <v>24</v>
      </c>
    </row>
    <row r="60" spans="1:23" ht="30" customHeight="1" x14ac:dyDescent="0.55000000000000004">
      <c r="A60" s="21"/>
      <c r="B60" s="21"/>
      <c r="C60" s="18" t="s">
        <v>229</v>
      </c>
      <c r="D60" s="18" t="s">
        <v>309</v>
      </c>
      <c r="E60" s="19" t="s">
        <v>310</v>
      </c>
      <c r="F60" s="18" t="s">
        <v>311</v>
      </c>
      <c r="G60" s="18"/>
      <c r="H60" s="40" t="s">
        <v>312</v>
      </c>
      <c r="I60" s="40"/>
      <c r="J60" s="19" t="s">
        <v>42</v>
      </c>
      <c r="K60" s="21">
        <v>2021</v>
      </c>
      <c r="L60" s="18" t="s">
        <v>43</v>
      </c>
      <c r="M60" s="21">
        <v>2021</v>
      </c>
      <c r="N60" s="41" t="s">
        <v>44</v>
      </c>
      <c r="O60" s="21">
        <v>4</v>
      </c>
      <c r="P60" s="21">
        <v>4</v>
      </c>
      <c r="Q60" s="21">
        <v>3</v>
      </c>
      <c r="R60" s="21">
        <v>3</v>
      </c>
      <c r="S60" s="21">
        <v>3</v>
      </c>
      <c r="T60" s="21">
        <v>3</v>
      </c>
      <c r="U60" s="21">
        <v>4</v>
      </c>
      <c r="V60" s="21">
        <v>3</v>
      </c>
      <c r="W60" s="23">
        <f t="shared" si="3"/>
        <v>27</v>
      </c>
    </row>
    <row r="61" spans="1:23" ht="30" customHeight="1" x14ac:dyDescent="0.55000000000000004">
      <c r="A61" s="21"/>
      <c r="B61" s="21"/>
      <c r="C61" s="18" t="s">
        <v>313</v>
      </c>
      <c r="D61" s="18" t="s">
        <v>314</v>
      </c>
      <c r="E61" s="19" t="s">
        <v>315</v>
      </c>
      <c r="F61" s="18" t="s">
        <v>316</v>
      </c>
      <c r="G61" s="18"/>
      <c r="H61" s="40" t="s">
        <v>317</v>
      </c>
      <c r="I61" s="40"/>
      <c r="J61" s="19" t="s">
        <v>255</v>
      </c>
      <c r="K61" s="21">
        <v>2024</v>
      </c>
      <c r="L61" s="18" t="s">
        <v>43</v>
      </c>
      <c r="M61" s="21">
        <v>2024</v>
      </c>
      <c r="N61" s="41" t="s">
        <v>251</v>
      </c>
      <c r="O61" s="21">
        <v>2</v>
      </c>
      <c r="P61" s="21">
        <v>2</v>
      </c>
      <c r="Q61" s="21">
        <v>2</v>
      </c>
      <c r="R61" s="21">
        <v>2</v>
      </c>
      <c r="S61" s="21">
        <v>3</v>
      </c>
      <c r="T61" s="21">
        <v>3</v>
      </c>
      <c r="U61" s="21">
        <v>1</v>
      </c>
      <c r="V61" s="21">
        <v>3</v>
      </c>
      <c r="W61" s="23">
        <f t="shared" si="3"/>
        <v>18</v>
      </c>
    </row>
    <row r="62" spans="1:23" ht="30" customHeight="1" x14ac:dyDescent="0.55000000000000004">
      <c r="A62" s="21"/>
      <c r="B62" s="21"/>
      <c r="C62" s="18" t="s">
        <v>196</v>
      </c>
      <c r="D62" s="18" t="s">
        <v>318</v>
      </c>
      <c r="E62" s="19" t="s">
        <v>319</v>
      </c>
      <c r="F62" s="18" t="s">
        <v>320</v>
      </c>
      <c r="G62" s="18"/>
      <c r="H62" s="40" t="s">
        <v>321</v>
      </c>
      <c r="I62" s="40"/>
      <c r="J62" s="19" t="s">
        <v>42</v>
      </c>
      <c r="K62" s="21">
        <v>2023</v>
      </c>
      <c r="L62" s="18" t="s">
        <v>25</v>
      </c>
      <c r="M62" s="21">
        <v>2023</v>
      </c>
      <c r="N62" s="41" t="s">
        <v>44</v>
      </c>
      <c r="O62" s="21">
        <v>4</v>
      </c>
      <c r="P62" s="21">
        <v>4</v>
      </c>
      <c r="Q62" s="21">
        <v>3</v>
      </c>
      <c r="R62" s="21">
        <v>3</v>
      </c>
      <c r="S62" s="21">
        <v>3</v>
      </c>
      <c r="T62" s="21">
        <v>3</v>
      </c>
      <c r="U62" s="21">
        <v>4</v>
      </c>
      <c r="V62" s="21">
        <v>3</v>
      </c>
      <c r="W62" s="23">
        <f t="shared" si="3"/>
        <v>27</v>
      </c>
    </row>
    <row r="63" spans="1:23" ht="30" customHeight="1" x14ac:dyDescent="0.55000000000000004">
      <c r="A63" s="21"/>
      <c r="B63" s="21"/>
      <c r="C63" s="18" t="s">
        <v>196</v>
      </c>
      <c r="D63" s="18" t="s">
        <v>322</v>
      </c>
      <c r="E63" s="19" t="s">
        <v>323</v>
      </c>
      <c r="F63" s="18" t="s">
        <v>324</v>
      </c>
      <c r="G63" s="18"/>
      <c r="H63" s="40" t="s">
        <v>325</v>
      </c>
      <c r="I63" s="40"/>
      <c r="J63" s="19" t="s">
        <v>255</v>
      </c>
      <c r="K63" s="21">
        <v>2021</v>
      </c>
      <c r="L63" s="18" t="s">
        <v>43</v>
      </c>
      <c r="M63" s="21">
        <v>2021</v>
      </c>
      <c r="N63" s="41" t="s">
        <v>251</v>
      </c>
      <c r="O63" s="21">
        <v>2</v>
      </c>
      <c r="P63" s="21">
        <v>2</v>
      </c>
      <c r="Q63" s="21">
        <v>2</v>
      </c>
      <c r="R63" s="21">
        <v>2</v>
      </c>
      <c r="S63" s="21">
        <v>3</v>
      </c>
      <c r="T63" s="21">
        <v>3</v>
      </c>
      <c r="U63" s="21">
        <v>1</v>
      </c>
      <c r="V63" s="21">
        <v>3</v>
      </c>
      <c r="W63" s="23">
        <f t="shared" si="3"/>
        <v>18</v>
      </c>
    </row>
    <row r="64" spans="1:23" s="24" customFormat="1" ht="30" customHeight="1" x14ac:dyDescent="0.55000000000000004">
      <c r="A64" s="21" t="s">
        <v>220</v>
      </c>
      <c r="B64" s="21"/>
      <c r="C64" s="18" t="s">
        <v>209</v>
      </c>
      <c r="D64" s="18" t="s">
        <v>326</v>
      </c>
      <c r="E64" s="19" t="s">
        <v>327</v>
      </c>
      <c r="F64" s="18" t="s">
        <v>328</v>
      </c>
      <c r="G64" s="18"/>
      <c r="H64" s="40" t="s">
        <v>329</v>
      </c>
      <c r="I64" s="40"/>
      <c r="J64" s="19" t="s">
        <v>330</v>
      </c>
      <c r="K64" s="21">
        <v>2010</v>
      </c>
      <c r="L64" s="18" t="s">
        <v>25</v>
      </c>
      <c r="M64" s="21">
        <v>2010</v>
      </c>
      <c r="N64" s="41" t="s">
        <v>35</v>
      </c>
      <c r="O64" s="21">
        <v>5</v>
      </c>
      <c r="P64" s="21">
        <v>4</v>
      </c>
      <c r="Q64" s="21">
        <v>3</v>
      </c>
      <c r="R64" s="21">
        <v>2</v>
      </c>
      <c r="S64" s="21">
        <v>3</v>
      </c>
      <c r="T64" s="21">
        <v>3</v>
      </c>
      <c r="U64" s="21">
        <v>1</v>
      </c>
      <c r="V64" s="21">
        <v>3</v>
      </c>
      <c r="W64" s="23">
        <f t="shared" si="3"/>
        <v>24</v>
      </c>
    </row>
    <row r="65" spans="1:23" s="24" customFormat="1" ht="30" customHeight="1" x14ac:dyDescent="0.55000000000000004">
      <c r="A65" s="21" t="s">
        <v>331</v>
      </c>
      <c r="B65" s="21"/>
      <c r="C65" s="18" t="s">
        <v>209</v>
      </c>
      <c r="D65" s="18" t="s">
        <v>332</v>
      </c>
      <c r="E65" s="19" t="s">
        <v>333</v>
      </c>
      <c r="F65" s="18"/>
      <c r="G65" s="18"/>
      <c r="H65" s="40" t="s">
        <v>334</v>
      </c>
      <c r="I65" s="40"/>
      <c r="J65" s="19" t="s">
        <v>335</v>
      </c>
      <c r="K65" s="21"/>
      <c r="L65" s="18"/>
      <c r="M65" s="21"/>
      <c r="N65" s="22"/>
      <c r="O65" s="21"/>
      <c r="P65" s="21"/>
      <c r="Q65" s="21"/>
      <c r="R65" s="21"/>
      <c r="S65" s="21"/>
      <c r="T65" s="21"/>
      <c r="U65" s="21"/>
      <c r="V65" s="21"/>
      <c r="W65" s="23"/>
    </row>
  </sheetData>
  <mergeCells count="12">
    <mergeCell ref="G3:G4"/>
    <mergeCell ref="O3:W3"/>
    <mergeCell ref="H3:H4"/>
    <mergeCell ref="K3:K4"/>
    <mergeCell ref="L3:M3"/>
    <mergeCell ref="I3:I4"/>
    <mergeCell ref="A3:A4"/>
    <mergeCell ref="B3:B4"/>
    <mergeCell ref="C3:C4"/>
    <mergeCell ref="D3:D4"/>
    <mergeCell ref="E3:E4"/>
    <mergeCell ref="F3:F4"/>
  </mergeCells>
  <phoneticPr fontId="2"/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★Original List</vt:lpstr>
      <vt:lpstr>'★Original List'!Print_Area</vt:lpstr>
      <vt:lpstr>'★Original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 SUZUKI</dc:creator>
  <cp:lastModifiedBy>ATSUSHI SUZUKI</cp:lastModifiedBy>
  <dcterms:created xsi:type="dcterms:W3CDTF">2026-09-27T12:10:02Z</dcterms:created>
  <dcterms:modified xsi:type="dcterms:W3CDTF">2026-09-27T12:15:54Z</dcterms:modified>
</cp:coreProperties>
</file>